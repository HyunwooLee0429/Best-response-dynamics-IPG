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hyunwoolee_vt_edu/Documents/Hyunwoo Research/upload/BZR_EBMC/EBMC_results/single_dataset/"/>
    </mc:Choice>
  </mc:AlternateContent>
  <xr:revisionPtr revIDLastSave="662" documentId="8_{82A8005D-CCF7-41FB-8804-D6453B1E6BDA}" xr6:coauthVersionLast="47" xr6:coauthVersionMax="47" xr10:uidLastSave="{93AF62D0-5D6C-4406-804F-5E38F81821B8}"/>
  <bookViews>
    <workbookView xWindow="57480" yWindow="-120" windowWidth="38640" windowHeight="21120" xr2:uid="{BADB9264-D059-42C1-AEAD-F1C89185A973}"/>
  </bookViews>
  <sheets>
    <sheet name="BZRvsZR" sheetId="5" r:id="rId1"/>
    <sheet name="RRR-BRD" sheetId="3" r:id="rId2"/>
    <sheet name="EBMC_origina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9" i="5" l="1"/>
  <c r="P29" i="5"/>
  <c r="N29" i="5"/>
  <c r="M29" i="5"/>
  <c r="D29" i="5"/>
  <c r="C29" i="5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" i="5"/>
  <c r="J29" i="5" s="1"/>
  <c r="D29" i="3"/>
  <c r="E29" i="3"/>
  <c r="F29" i="3"/>
  <c r="H29" i="3"/>
  <c r="I29" i="3"/>
  <c r="J29" i="3"/>
  <c r="K29" i="3"/>
  <c r="L29" i="3"/>
  <c r="M29" i="3"/>
  <c r="G29" i="3" l="1"/>
</calcChain>
</file>

<file path=xl/sharedStrings.xml><?xml version="1.0" encoding="utf-8"?>
<sst xmlns="http://schemas.openxmlformats.org/spreadsheetml/2006/main" count="144" uniqueCount="33">
  <si>
    <t>num_cts</t>
  </si>
  <si>
    <t>num_lakes</t>
  </si>
  <si>
    <t>num_infested_lakes</t>
  </si>
  <si>
    <t>budget_ratio</t>
  </si>
  <si>
    <t>budget</t>
  </si>
  <si>
    <t>ZR_1st</t>
  </si>
  <si>
    <t>ZR</t>
  </si>
  <si>
    <t>BZR_1st</t>
  </si>
  <si>
    <t>BZR</t>
  </si>
  <si>
    <t>OSW</t>
  </si>
  <si>
    <t>Cuts_ZR</t>
  </si>
  <si>
    <t>Cuts_BZR</t>
  </si>
  <si>
    <t>ZR_1st_T</t>
  </si>
  <si>
    <t>ZR_T</t>
  </si>
  <si>
    <t>BZR_1st_T</t>
  </si>
  <si>
    <t>BZR_T</t>
  </si>
  <si>
    <t>num_PNEs_ZR</t>
  </si>
  <si>
    <t>bound_ZR</t>
  </si>
  <si>
    <t>bound_BZR</t>
  </si>
  <si>
    <t>Status_ZR</t>
  </si>
  <si>
    <t>Status_BZR</t>
  </si>
  <si>
    <t>Total</t>
  </si>
  <si>
    <t>Cuts_BZR_total</t>
  </si>
  <si>
    <t>Ad_Cuts_BZR</t>
  </si>
  <si>
    <t>num_PNEs_BZR</t>
  </si>
  <si>
    <t>BRD(0)</t>
  </si>
  <si>
    <t>BRD(OSW)</t>
  </si>
  <si>
    <t>BRD(0)_T</t>
  </si>
  <si>
    <t>BRD(OSW)_T</t>
  </si>
  <si>
    <t>it_BRD(0)</t>
  </si>
  <si>
    <t>it_BRD(OSW)</t>
  </si>
  <si>
    <t>POS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</si>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</sst>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0006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sz val="11"/>
      <color rgb="FFFF000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0" fillId="0" borderId="0" xfId="0" applyAlignment="1"/>
    <xf numFmtId="0" fontId="0" fillId="0" borderId="0" xfId="0" quotePrefix="1" applyAlignment="1"/>
    <xf numFmtId="164" fontId="0" fillId="0" borderId="0" xfId="0" applyNumberFormat="1" applyAlignment="1"/>
    <xf numFmtId="164" fontId="1" fillId="0" borderId="0" xfId="0" applyNumberFormat="1" applyFont="1" applyAlignment="1"/>
    <xf numFmtId="165" fontId="0" fillId="0" borderId="0" xfId="0" applyNumberFormat="1" applyAlignment="1"/>
    <xf numFmtId="164" fontId="1" fillId="0" borderId="0" xfId="0" quotePrefix="1" applyNumberFormat="1" applyFont="1" applyAlignment="1"/>
    <xf numFmtId="0" fontId="20" fillId="0" borderId="0" xfId="0" applyFont="1" applyAlignment="1"/>
    <xf numFmtId="164" fontId="20" fillId="0" borderId="0" xfId="0" applyNumberFormat="1" applyFont="1" applyAlignment="1"/>
    <xf numFmtId="164" fontId="21" fillId="0" borderId="0" xfId="0" applyNumberFormat="1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8E15-4C4B-4404-BA74-0446EAC01945}">
  <dimension ref="A1:P29"/>
  <sheetViews>
    <sheetView tabSelected="1" workbookViewId="0">
      <selection activeCell="AH12" sqref="AH12"/>
    </sheetView>
  </sheetViews>
  <sheetFormatPr defaultRowHeight="14" x14ac:dyDescent="0.25"/>
  <cols>
    <col min="11" max="12" width="10.453125" bestFit="1" customWidth="1"/>
    <col min="13" max="13" width="9.08984375" bestFit="1" customWidth="1"/>
    <col min="14" max="14" width="10.453125" bestFit="1" customWidth="1"/>
  </cols>
  <sheetData>
    <row r="1" spans="1:16" x14ac:dyDescent="0.25">
      <c r="A1" s="3" t="s">
        <v>0</v>
      </c>
      <c r="B1" s="3" t="s">
        <v>3</v>
      </c>
      <c r="C1" s="3" t="s">
        <v>16</v>
      </c>
      <c r="D1" s="3" t="s">
        <v>24</v>
      </c>
      <c r="E1" s="3" t="s">
        <v>6</v>
      </c>
      <c r="F1" s="3" t="s">
        <v>8</v>
      </c>
      <c r="G1" s="3" t="s">
        <v>17</v>
      </c>
      <c r="H1" s="3" t="s">
        <v>18</v>
      </c>
      <c r="I1" s="3" t="s">
        <v>9</v>
      </c>
      <c r="J1" s="3" t="s">
        <v>31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10</v>
      </c>
      <c r="P1" s="3" t="s">
        <v>22</v>
      </c>
    </row>
    <row r="2" spans="1:16" x14ac:dyDescent="0.25">
      <c r="A2" s="3">
        <v>2</v>
      </c>
      <c r="B2" s="3">
        <v>0.3</v>
      </c>
      <c r="C2" s="3">
        <v>1</v>
      </c>
      <c r="D2" s="3">
        <v>1</v>
      </c>
      <c r="E2" s="5">
        <v>19.239000000000001</v>
      </c>
      <c r="F2" s="5">
        <v>19.239000000000001</v>
      </c>
      <c r="G2" s="5">
        <v>19.239000000000001</v>
      </c>
      <c r="H2" s="5">
        <v>19.239000000000001</v>
      </c>
      <c r="I2" s="5">
        <v>19.239000000000001</v>
      </c>
      <c r="J2" s="7">
        <f>I2/F2</f>
        <v>1</v>
      </c>
      <c r="K2" s="5">
        <v>0.22318315505981401</v>
      </c>
      <c r="L2" s="5">
        <v>0.22318315505981401</v>
      </c>
      <c r="M2" s="5">
        <v>0.17824435234069799</v>
      </c>
      <c r="N2" s="5">
        <v>0.38633012771606401</v>
      </c>
      <c r="O2" s="3">
        <v>8</v>
      </c>
      <c r="P2" s="3">
        <v>13</v>
      </c>
    </row>
    <row r="3" spans="1:16" ht="15" x14ac:dyDescent="0.35">
      <c r="A3" s="3"/>
      <c r="B3" s="3">
        <v>0.5</v>
      </c>
      <c r="C3" s="3">
        <v>6</v>
      </c>
      <c r="D3" s="9">
        <v>7</v>
      </c>
      <c r="E3" s="5">
        <v>22.274000000000001</v>
      </c>
      <c r="F3" s="5">
        <v>22.274000000000001</v>
      </c>
      <c r="G3" s="5">
        <v>22.273999999999901</v>
      </c>
      <c r="H3" s="5">
        <v>22.274999999999999</v>
      </c>
      <c r="I3" s="5">
        <v>22.274000000000001</v>
      </c>
      <c r="J3" s="7">
        <f t="shared" ref="J3:J28" si="0">I3/F3</f>
        <v>1</v>
      </c>
      <c r="K3" s="5">
        <v>0.91111326217651301</v>
      </c>
      <c r="L3" s="5">
        <v>1.68638610839843</v>
      </c>
      <c r="M3" s="5">
        <v>0.21960258483886699</v>
      </c>
      <c r="N3" s="5">
        <v>2.1917297840118399</v>
      </c>
      <c r="O3" s="3">
        <v>11</v>
      </c>
      <c r="P3" s="3">
        <v>25</v>
      </c>
    </row>
    <row r="4" spans="1:16" ht="15" x14ac:dyDescent="0.35">
      <c r="A4" s="3"/>
      <c r="B4" s="3">
        <v>0.8</v>
      </c>
      <c r="C4" s="3">
        <v>1</v>
      </c>
      <c r="D4" s="9">
        <v>6</v>
      </c>
      <c r="E4" s="5">
        <v>23.338999999999999</v>
      </c>
      <c r="F4" s="5">
        <v>23.338999999999999</v>
      </c>
      <c r="G4" s="5">
        <v>23.338999999999999</v>
      </c>
      <c r="H4" s="5">
        <v>23.339000000000897</v>
      </c>
      <c r="I4" s="5">
        <v>24.882000000000001</v>
      </c>
      <c r="J4" s="7">
        <f t="shared" si="0"/>
        <v>1.0661125155319424</v>
      </c>
      <c r="K4" s="5">
        <v>1.6700086593627901</v>
      </c>
      <c r="L4" s="5">
        <v>1.6772980690002399</v>
      </c>
      <c r="M4" s="5">
        <v>0.30878472328186002</v>
      </c>
      <c r="N4" s="5">
        <v>2.0392105579376198</v>
      </c>
      <c r="O4" s="3">
        <v>12</v>
      </c>
      <c r="P4" s="3">
        <v>26</v>
      </c>
    </row>
    <row r="5" spans="1:16" ht="15" x14ac:dyDescent="0.35">
      <c r="A5" s="3">
        <v>3</v>
      </c>
      <c r="B5" s="3">
        <v>0.3</v>
      </c>
      <c r="C5" s="3">
        <v>1</v>
      </c>
      <c r="D5" s="9">
        <v>6</v>
      </c>
      <c r="E5" s="5">
        <v>27.641999999999999</v>
      </c>
      <c r="F5" s="5">
        <v>27.641999999999999</v>
      </c>
      <c r="G5" s="5">
        <v>27.641999999999999</v>
      </c>
      <c r="H5" s="5">
        <v>27.641999999999801</v>
      </c>
      <c r="I5" s="5">
        <v>27.641999999999999</v>
      </c>
      <c r="J5" s="7">
        <f t="shared" si="0"/>
        <v>1</v>
      </c>
      <c r="K5" s="5">
        <v>2.35087895393371</v>
      </c>
      <c r="L5" s="5">
        <v>2.3517694473266602</v>
      </c>
      <c r="M5" s="5">
        <v>0.55490064620971602</v>
      </c>
      <c r="N5" s="5">
        <v>3.4452149868011399</v>
      </c>
      <c r="O5" s="3">
        <v>9</v>
      </c>
      <c r="P5" s="3">
        <v>19</v>
      </c>
    </row>
    <row r="6" spans="1:16" ht="15" x14ac:dyDescent="0.35">
      <c r="A6" s="3"/>
      <c r="B6" s="3">
        <v>0.5</v>
      </c>
      <c r="C6" s="9">
        <v>5</v>
      </c>
      <c r="D6" s="3">
        <v>4</v>
      </c>
      <c r="E6" s="5">
        <v>42.106999999999999</v>
      </c>
      <c r="F6" s="5">
        <v>42.106999999999999</v>
      </c>
      <c r="G6" s="5">
        <v>42.106999999999999</v>
      </c>
      <c r="H6" s="5">
        <v>42.109000000000002</v>
      </c>
      <c r="I6" s="5">
        <v>42.106999999999999</v>
      </c>
      <c r="J6" s="7">
        <f t="shared" si="0"/>
        <v>1</v>
      </c>
      <c r="K6" s="5">
        <v>8.2000842094421298</v>
      </c>
      <c r="L6" s="5">
        <v>11.087249994277901</v>
      </c>
      <c r="M6" s="5">
        <v>0.52844381332397405</v>
      </c>
      <c r="N6" s="5">
        <v>12.076400279998699</v>
      </c>
      <c r="O6" s="3">
        <v>15</v>
      </c>
      <c r="P6" s="3">
        <v>27</v>
      </c>
    </row>
    <row r="7" spans="1:16" x14ac:dyDescent="0.25">
      <c r="A7" s="3"/>
      <c r="B7" s="3">
        <v>0.8</v>
      </c>
      <c r="C7" s="3">
        <v>1</v>
      </c>
      <c r="D7" s="3">
        <v>1</v>
      </c>
      <c r="E7" s="5">
        <v>53.134</v>
      </c>
      <c r="F7" s="5">
        <v>53.134</v>
      </c>
      <c r="G7" s="5">
        <v>53.134</v>
      </c>
      <c r="H7" s="5">
        <v>53.134</v>
      </c>
      <c r="I7" s="5">
        <v>53.134</v>
      </c>
      <c r="J7" s="7">
        <f t="shared" si="0"/>
        <v>1</v>
      </c>
      <c r="K7" s="5">
        <v>0.63907790184020996</v>
      </c>
      <c r="L7" s="5">
        <v>0.64007806777954102</v>
      </c>
      <c r="M7" s="5">
        <v>0.49540042877197199</v>
      </c>
      <c r="N7" s="5">
        <v>1.0240128040313701</v>
      </c>
      <c r="O7" s="3">
        <v>12</v>
      </c>
      <c r="P7" s="3">
        <v>19</v>
      </c>
    </row>
    <row r="8" spans="1:16" ht="15" x14ac:dyDescent="0.35">
      <c r="A8" s="3">
        <v>5</v>
      </c>
      <c r="B8" s="3">
        <v>0.3</v>
      </c>
      <c r="C8" s="3">
        <v>1</v>
      </c>
      <c r="D8" s="9">
        <v>8</v>
      </c>
      <c r="E8" s="5">
        <v>90.366</v>
      </c>
      <c r="F8" s="5">
        <v>90.364000000000004</v>
      </c>
      <c r="G8" s="5">
        <v>90.366000000000398</v>
      </c>
      <c r="H8" s="5">
        <v>90.37</v>
      </c>
      <c r="I8" s="5">
        <v>90.366</v>
      </c>
      <c r="J8" s="7">
        <f t="shared" si="0"/>
        <v>1.0000221327077154</v>
      </c>
      <c r="K8" s="5">
        <v>12.9221642017364</v>
      </c>
      <c r="L8" s="5">
        <v>13.0517246723175</v>
      </c>
      <c r="M8" s="5">
        <v>1.3301582336425699</v>
      </c>
      <c r="N8" s="5">
        <v>15.029822349548301</v>
      </c>
      <c r="O8" s="3">
        <v>17</v>
      </c>
      <c r="P8" s="3">
        <v>38</v>
      </c>
    </row>
    <row r="9" spans="1:16" ht="15" x14ac:dyDescent="0.35">
      <c r="A9" s="3"/>
      <c r="B9" s="3">
        <v>0.5</v>
      </c>
      <c r="C9" s="3">
        <v>1</v>
      </c>
      <c r="D9" s="9">
        <v>4</v>
      </c>
      <c r="E9" s="5">
        <v>100.151</v>
      </c>
      <c r="F9" s="10">
        <v>100.601</v>
      </c>
      <c r="G9" s="5">
        <v>101.291</v>
      </c>
      <c r="H9" s="10">
        <v>101.187</v>
      </c>
      <c r="I9" s="5">
        <v>100.601</v>
      </c>
      <c r="J9" s="7">
        <f t="shared" si="0"/>
        <v>1</v>
      </c>
      <c r="K9" s="5">
        <v>1474.53750586509</v>
      </c>
      <c r="L9" s="5">
        <v>1800.5351500511099</v>
      </c>
      <c r="M9" s="5">
        <v>1.88103151321411</v>
      </c>
      <c r="N9" s="5">
        <v>1800.3015170097301</v>
      </c>
      <c r="O9" s="3">
        <v>94</v>
      </c>
      <c r="P9" s="3">
        <v>45</v>
      </c>
    </row>
    <row r="10" spans="1:16" ht="15" x14ac:dyDescent="0.35">
      <c r="A10" s="3"/>
      <c r="B10" s="3">
        <v>0.8</v>
      </c>
      <c r="C10" s="3">
        <v>10</v>
      </c>
      <c r="D10" s="9">
        <v>25</v>
      </c>
      <c r="E10" s="5">
        <v>156.72999999999999</v>
      </c>
      <c r="F10" s="5">
        <v>156.74</v>
      </c>
      <c r="G10" s="5">
        <v>157.85300000000001</v>
      </c>
      <c r="H10" s="10">
        <v>157.35499999999999</v>
      </c>
      <c r="I10" s="5">
        <v>156.70699999999999</v>
      </c>
      <c r="J10" s="7">
        <f t="shared" si="0"/>
        <v>0.99978946025264759</v>
      </c>
      <c r="K10" s="5">
        <v>1134.4187850952101</v>
      </c>
      <c r="L10" s="5">
        <v>1800.91003036499</v>
      </c>
      <c r="M10" s="5">
        <v>1.50700306892395</v>
      </c>
      <c r="N10" s="5">
        <v>1800.26128268241</v>
      </c>
      <c r="O10" s="3">
        <v>182</v>
      </c>
      <c r="P10" s="3">
        <v>58</v>
      </c>
    </row>
    <row r="11" spans="1:16" ht="15" x14ac:dyDescent="0.35">
      <c r="A11" s="3">
        <v>8</v>
      </c>
      <c r="B11" s="3">
        <v>0.3</v>
      </c>
      <c r="C11" s="3">
        <v>3</v>
      </c>
      <c r="D11" s="9">
        <v>5</v>
      </c>
      <c r="E11" s="5">
        <v>134.14500000000001</v>
      </c>
      <c r="F11" s="5">
        <v>134.14500000000001</v>
      </c>
      <c r="G11" s="5">
        <v>134.15799999999999</v>
      </c>
      <c r="H11" s="5">
        <v>134.15799999999999</v>
      </c>
      <c r="I11" s="5">
        <v>149.94800000000001</v>
      </c>
      <c r="J11" s="7">
        <f t="shared" si="0"/>
        <v>1.1178053598717805</v>
      </c>
      <c r="K11" s="5">
        <v>40.414740562438901</v>
      </c>
      <c r="L11" s="5">
        <v>74.536025285720797</v>
      </c>
      <c r="M11" s="5">
        <v>6.0351936817169101</v>
      </c>
      <c r="N11" s="5">
        <v>113.10732889175399</v>
      </c>
      <c r="O11" s="3">
        <v>41</v>
      </c>
      <c r="P11" s="3">
        <v>68</v>
      </c>
    </row>
    <row r="12" spans="1:16" ht="15" x14ac:dyDescent="0.35">
      <c r="A12" s="3"/>
      <c r="B12" s="3">
        <v>0.5</v>
      </c>
      <c r="C12" s="3">
        <v>0</v>
      </c>
      <c r="D12" s="9">
        <v>3</v>
      </c>
      <c r="E12" s="5" t="s">
        <v>32</v>
      </c>
      <c r="F12" s="10">
        <v>252.22499999999999</v>
      </c>
      <c r="G12" s="10">
        <v>260.12278578899799</v>
      </c>
      <c r="H12" s="5">
        <v>260.16800000000001</v>
      </c>
      <c r="I12" s="5">
        <v>252.22200000000001</v>
      </c>
      <c r="J12" s="7">
        <f t="shared" si="0"/>
        <v>0.99998810585786502</v>
      </c>
      <c r="K12" s="5" t="s">
        <v>32</v>
      </c>
      <c r="L12" s="5">
        <v>1800.7899315357199</v>
      </c>
      <c r="M12" s="5">
        <v>4.9261410236358598</v>
      </c>
      <c r="N12" s="5">
        <v>1800.2029259204801</v>
      </c>
      <c r="O12" s="3">
        <v>28</v>
      </c>
      <c r="P12" s="3">
        <v>51</v>
      </c>
    </row>
    <row r="13" spans="1:16" ht="15" x14ac:dyDescent="0.35">
      <c r="A13" s="3"/>
      <c r="B13" s="3">
        <v>0.8</v>
      </c>
      <c r="C13" s="3">
        <v>0</v>
      </c>
      <c r="D13" s="9">
        <v>10</v>
      </c>
      <c r="E13" s="5" t="s">
        <v>32</v>
      </c>
      <c r="F13" s="10">
        <v>349.202</v>
      </c>
      <c r="G13" s="5">
        <v>379.61399999999998</v>
      </c>
      <c r="H13" s="10">
        <v>353.36200000000002</v>
      </c>
      <c r="I13" s="5">
        <v>381.28199999999998</v>
      </c>
      <c r="J13" s="7">
        <f t="shared" si="0"/>
        <v>1.0918665987021838</v>
      </c>
      <c r="K13" s="5" t="s">
        <v>32</v>
      </c>
      <c r="L13" s="5">
        <v>1800.2963211536401</v>
      </c>
      <c r="M13" s="5">
        <v>4.9887573719024596</v>
      </c>
      <c r="N13" s="5">
        <v>1800.6335432529399</v>
      </c>
      <c r="O13" s="3">
        <v>28</v>
      </c>
      <c r="P13" s="3">
        <v>83</v>
      </c>
    </row>
    <row r="14" spans="1:16" ht="15" x14ac:dyDescent="0.35">
      <c r="A14" s="3">
        <v>10</v>
      </c>
      <c r="B14" s="3">
        <v>0.3</v>
      </c>
      <c r="C14" s="3">
        <v>2</v>
      </c>
      <c r="D14" s="9">
        <v>5</v>
      </c>
      <c r="E14" s="5">
        <v>317.23099999999999</v>
      </c>
      <c r="F14" s="5">
        <v>317.23099999999999</v>
      </c>
      <c r="G14" s="5">
        <v>317.26100000000002</v>
      </c>
      <c r="H14" s="5">
        <v>317.255805924502</v>
      </c>
      <c r="I14" s="5">
        <v>317.23099999999999</v>
      </c>
      <c r="J14" s="7">
        <f t="shared" si="0"/>
        <v>1</v>
      </c>
      <c r="K14" s="5">
        <v>535.76801204681396</v>
      </c>
      <c r="L14" s="5">
        <v>1359.8560862541201</v>
      </c>
      <c r="M14" s="5">
        <v>7.8986279964447004</v>
      </c>
      <c r="N14" s="5">
        <v>971.15197920799199</v>
      </c>
      <c r="O14" s="3">
        <v>54</v>
      </c>
      <c r="P14" s="3">
        <v>82</v>
      </c>
    </row>
    <row r="15" spans="1:16" ht="15" x14ac:dyDescent="0.35">
      <c r="A15" s="3"/>
      <c r="B15" s="3">
        <v>0.5</v>
      </c>
      <c r="C15" s="3">
        <v>0</v>
      </c>
      <c r="D15" s="9">
        <v>24</v>
      </c>
      <c r="E15" s="5" t="s">
        <v>32</v>
      </c>
      <c r="F15" s="10">
        <v>361.71100000000001</v>
      </c>
      <c r="G15" s="5">
        <v>372.50200000000001</v>
      </c>
      <c r="H15" s="10">
        <v>372.38299999999998</v>
      </c>
      <c r="I15" s="5">
        <v>361.65100000000001</v>
      </c>
      <c r="J15" s="7">
        <f t="shared" si="0"/>
        <v>0.99983412171595554</v>
      </c>
      <c r="K15" s="5" t="s">
        <v>32</v>
      </c>
      <c r="L15" s="5">
        <v>1801.48587942123</v>
      </c>
      <c r="M15" s="5">
        <v>5.2303826808929399</v>
      </c>
      <c r="N15" s="5">
        <v>1801.00852799415</v>
      </c>
      <c r="O15" s="3">
        <v>28</v>
      </c>
      <c r="P15" s="3">
        <v>105</v>
      </c>
    </row>
    <row r="16" spans="1:16" ht="15" x14ac:dyDescent="0.35">
      <c r="A16" s="3"/>
      <c r="B16" s="3">
        <v>0.8</v>
      </c>
      <c r="C16" s="3">
        <v>0</v>
      </c>
      <c r="D16" s="9">
        <v>3</v>
      </c>
      <c r="E16" s="5" t="s">
        <v>32</v>
      </c>
      <c r="F16" s="10">
        <v>538.05700000000002</v>
      </c>
      <c r="G16" s="5">
        <v>558.80799999999999</v>
      </c>
      <c r="H16" s="10">
        <v>549.327</v>
      </c>
      <c r="I16" s="5">
        <v>539.83699999999999</v>
      </c>
      <c r="J16" s="7">
        <f t="shared" si="0"/>
        <v>1.0033081996888804</v>
      </c>
      <c r="K16" s="5" t="s">
        <v>32</v>
      </c>
      <c r="L16" s="5">
        <v>1800.1895985603301</v>
      </c>
      <c r="M16" s="5">
        <v>7.5900235176086399</v>
      </c>
      <c r="N16" s="5">
        <v>1800.23696398735</v>
      </c>
      <c r="O16" s="3">
        <v>31</v>
      </c>
      <c r="P16" s="3">
        <v>59</v>
      </c>
    </row>
    <row r="17" spans="1:16" ht="15" x14ac:dyDescent="0.35">
      <c r="A17" s="3">
        <v>15</v>
      </c>
      <c r="B17" s="3">
        <v>0.3</v>
      </c>
      <c r="C17" s="3">
        <v>0</v>
      </c>
      <c r="D17" s="9">
        <v>4</v>
      </c>
      <c r="E17" s="5" t="s">
        <v>32</v>
      </c>
      <c r="F17" s="10">
        <v>725.38499999999999</v>
      </c>
      <c r="G17" s="10">
        <v>743.47697245075301</v>
      </c>
      <c r="H17" s="5">
        <v>745.86959317794299</v>
      </c>
      <c r="I17" s="5">
        <v>725.43200000000002</v>
      </c>
      <c r="J17" s="7">
        <f t="shared" si="0"/>
        <v>1.0000647931787947</v>
      </c>
      <c r="K17" s="5" t="s">
        <v>32</v>
      </c>
      <c r="L17" s="5">
        <v>1800.0710954666099</v>
      </c>
      <c r="M17" s="5">
        <v>16.323740959167399</v>
      </c>
      <c r="N17" s="5">
        <v>1800.04784965515</v>
      </c>
      <c r="O17" s="3">
        <v>51</v>
      </c>
      <c r="P17" s="3">
        <v>94</v>
      </c>
    </row>
    <row r="18" spans="1:16" ht="15" x14ac:dyDescent="0.35">
      <c r="A18" s="3"/>
      <c r="B18" s="3">
        <v>0.5</v>
      </c>
      <c r="C18" s="3">
        <v>0</v>
      </c>
      <c r="D18" s="9">
        <v>6</v>
      </c>
      <c r="E18" s="5" t="s">
        <v>32</v>
      </c>
      <c r="F18" s="10">
        <v>708.44100000000003</v>
      </c>
      <c r="G18" s="10">
        <v>729.59729143291395</v>
      </c>
      <c r="H18" s="5">
        <v>730.10172728186205</v>
      </c>
      <c r="I18" s="5">
        <v>857.54899999999998</v>
      </c>
      <c r="J18" s="7">
        <f t="shared" si="0"/>
        <v>1.2104734198048954</v>
      </c>
      <c r="K18" s="5" t="s">
        <v>32</v>
      </c>
      <c r="L18" s="5">
        <v>1800.0704853534601</v>
      </c>
      <c r="M18" s="5">
        <v>22.301704168319699</v>
      </c>
      <c r="N18" s="5">
        <v>1800.0608739852901</v>
      </c>
      <c r="O18" s="3">
        <v>75</v>
      </c>
      <c r="P18" s="3">
        <v>143</v>
      </c>
    </row>
    <row r="19" spans="1:16" ht="15" x14ac:dyDescent="0.35">
      <c r="A19" s="3"/>
      <c r="B19" s="3">
        <v>0.8</v>
      </c>
      <c r="C19" s="3">
        <v>0</v>
      </c>
      <c r="D19" s="9">
        <v>2</v>
      </c>
      <c r="E19" s="5" t="s">
        <v>32</v>
      </c>
      <c r="F19" s="10">
        <v>1216.527</v>
      </c>
      <c r="G19" s="5">
        <v>1328.93570859546</v>
      </c>
      <c r="H19" s="10">
        <v>1249.19272464498</v>
      </c>
      <c r="I19" s="5">
        <v>1219.7360000000001</v>
      </c>
      <c r="J19" s="7">
        <f t="shared" si="0"/>
        <v>1.0026378370558156</v>
      </c>
      <c r="K19" s="5" t="s">
        <v>32</v>
      </c>
      <c r="L19" s="5">
        <v>1800.0750036239599</v>
      </c>
      <c r="M19" s="5">
        <v>17.999729394912698</v>
      </c>
      <c r="N19" s="5">
        <v>1800.0934209823599</v>
      </c>
      <c r="O19" s="3">
        <v>49</v>
      </c>
      <c r="P19" s="3">
        <v>91</v>
      </c>
    </row>
    <row r="20" spans="1:16" ht="15" x14ac:dyDescent="0.35">
      <c r="A20" s="3">
        <v>20</v>
      </c>
      <c r="B20" s="3">
        <v>0.3</v>
      </c>
      <c r="C20" s="3">
        <v>0</v>
      </c>
      <c r="D20" s="9">
        <v>3</v>
      </c>
      <c r="E20" s="5" t="s">
        <v>32</v>
      </c>
      <c r="F20" s="10">
        <v>904.54</v>
      </c>
      <c r="G20" s="5">
        <v>937.68082545352206</v>
      </c>
      <c r="H20" s="10">
        <v>922.50932225238603</v>
      </c>
      <c r="I20" s="5">
        <v>904.53800000000001</v>
      </c>
      <c r="J20" s="7">
        <f t="shared" si="0"/>
        <v>0.99999778893139057</v>
      </c>
      <c r="K20" s="5" t="s">
        <v>32</v>
      </c>
      <c r="L20" s="5">
        <v>1800.2504377365101</v>
      </c>
      <c r="M20" s="5">
        <v>42.603196382522498</v>
      </c>
      <c r="N20" s="5">
        <v>1800.08297657966</v>
      </c>
      <c r="O20" s="3">
        <v>79</v>
      </c>
      <c r="P20" s="3">
        <v>138</v>
      </c>
    </row>
    <row r="21" spans="1:16" ht="15" x14ac:dyDescent="0.35">
      <c r="A21" s="3"/>
      <c r="B21" s="3">
        <v>0.5</v>
      </c>
      <c r="C21" s="3">
        <v>0</v>
      </c>
      <c r="D21" s="9">
        <v>3</v>
      </c>
      <c r="E21" s="5" t="s">
        <v>32</v>
      </c>
      <c r="F21" s="10">
        <v>1282.134</v>
      </c>
      <c r="G21" s="10">
        <v>1469.8271637679202</v>
      </c>
      <c r="H21" s="5">
        <v>1472.8202090182499</v>
      </c>
      <c r="I21" s="5">
        <v>1529.1379999999999</v>
      </c>
      <c r="J21" s="7">
        <f t="shared" si="0"/>
        <v>1.1926506901774696</v>
      </c>
      <c r="K21" s="5" t="s">
        <v>32</v>
      </c>
      <c r="L21" s="5">
        <v>1800.2857687473199</v>
      </c>
      <c r="M21" s="5">
        <v>38.200626611709602</v>
      </c>
      <c r="N21" s="5">
        <v>1800.0811855792999</v>
      </c>
      <c r="O21" s="3">
        <v>88</v>
      </c>
      <c r="P21" s="3">
        <v>147</v>
      </c>
    </row>
    <row r="22" spans="1:16" ht="15" x14ac:dyDescent="0.35">
      <c r="A22" s="3"/>
      <c r="B22" s="3">
        <v>0.8</v>
      </c>
      <c r="C22" s="3">
        <v>0</v>
      </c>
      <c r="D22" s="9">
        <v>2</v>
      </c>
      <c r="E22" s="5" t="s">
        <v>32</v>
      </c>
      <c r="F22" s="10">
        <v>2024.377</v>
      </c>
      <c r="G22" s="5">
        <v>2441.1112972902602</v>
      </c>
      <c r="H22" s="10">
        <v>2207.20861674752</v>
      </c>
      <c r="I22" s="5">
        <v>2415.5210000000002</v>
      </c>
      <c r="J22" s="7">
        <f t="shared" si="0"/>
        <v>1.1932169749014143</v>
      </c>
      <c r="K22" s="5" t="s">
        <v>32</v>
      </c>
      <c r="L22" s="5">
        <v>1800.3357381820599</v>
      </c>
      <c r="M22" s="5">
        <v>38.456406354904097</v>
      </c>
      <c r="N22" s="5">
        <v>1800.2435352802199</v>
      </c>
      <c r="O22" s="3">
        <v>78</v>
      </c>
      <c r="P22" s="3">
        <v>136</v>
      </c>
    </row>
    <row r="23" spans="1:16" ht="15" x14ac:dyDescent="0.35">
      <c r="A23" s="3">
        <v>25</v>
      </c>
      <c r="B23" s="3">
        <v>0.3</v>
      </c>
      <c r="C23" s="3">
        <v>0</v>
      </c>
      <c r="D23" s="9">
        <v>4</v>
      </c>
      <c r="E23" s="5" t="s">
        <v>32</v>
      </c>
      <c r="F23" s="10">
        <v>1764.9649999999999</v>
      </c>
      <c r="G23" s="5">
        <v>1823.24281810304</v>
      </c>
      <c r="H23" s="10">
        <v>1819.5369787071602</v>
      </c>
      <c r="I23" s="5">
        <v>1764.963</v>
      </c>
      <c r="J23" s="7">
        <f t="shared" si="0"/>
        <v>0.99999886683305339</v>
      </c>
      <c r="K23" s="5" t="s">
        <v>32</v>
      </c>
      <c r="L23" s="5">
        <v>1800.3162908554</v>
      </c>
      <c r="M23" s="5">
        <v>61.5564863681793</v>
      </c>
      <c r="N23" s="5">
        <v>1800.1042587757099</v>
      </c>
      <c r="O23" s="3">
        <v>93</v>
      </c>
      <c r="P23" s="3">
        <v>166</v>
      </c>
    </row>
    <row r="24" spans="1:16" ht="15" x14ac:dyDescent="0.35">
      <c r="A24" s="3"/>
      <c r="B24" s="3">
        <v>0.5</v>
      </c>
      <c r="C24" s="3">
        <v>0</v>
      </c>
      <c r="D24" s="9">
        <v>4</v>
      </c>
      <c r="E24" s="5" t="s">
        <v>32</v>
      </c>
      <c r="F24" s="10">
        <v>2597.402</v>
      </c>
      <c r="G24" s="5">
        <v>2782.7356556171899</v>
      </c>
      <c r="H24" s="10">
        <v>2767.9044599773702</v>
      </c>
      <c r="I24" s="5">
        <v>2597.692</v>
      </c>
      <c r="J24" s="7">
        <f t="shared" si="0"/>
        <v>1.0001116500256795</v>
      </c>
      <c r="K24" s="5" t="s">
        <v>32</v>
      </c>
      <c r="L24" s="5">
        <v>1800.2905268669101</v>
      </c>
      <c r="M24" s="5">
        <v>61.1491568088531</v>
      </c>
      <c r="N24" s="5">
        <v>1800.14343452453</v>
      </c>
      <c r="O24" s="3">
        <v>100</v>
      </c>
      <c r="P24" s="3">
        <v>173</v>
      </c>
    </row>
    <row r="25" spans="1:16" ht="15" x14ac:dyDescent="0.35">
      <c r="A25" s="3"/>
      <c r="B25" s="3">
        <v>0.8</v>
      </c>
      <c r="C25" s="3">
        <v>0</v>
      </c>
      <c r="D25" s="9">
        <v>2</v>
      </c>
      <c r="E25" s="5" t="s">
        <v>32</v>
      </c>
      <c r="F25" s="10">
        <v>3307.38</v>
      </c>
      <c r="G25" s="5">
        <v>3883.8578000000198</v>
      </c>
      <c r="H25" s="10">
        <v>3541.1087517360902</v>
      </c>
      <c r="I25" s="5">
        <v>3312.8119999999999</v>
      </c>
      <c r="J25" s="7">
        <f t="shared" si="0"/>
        <v>1.0016423876300877</v>
      </c>
      <c r="K25" s="5" t="s">
        <v>32</v>
      </c>
      <c r="L25" s="5">
        <v>1800.294911623</v>
      </c>
      <c r="M25" s="5">
        <v>51.104966402053797</v>
      </c>
      <c r="N25" s="5">
        <v>1800.32887244224</v>
      </c>
      <c r="O25" s="3">
        <v>86</v>
      </c>
      <c r="P25" s="3">
        <v>156</v>
      </c>
    </row>
    <row r="26" spans="1:16" ht="15" x14ac:dyDescent="0.35">
      <c r="A26" s="3">
        <v>30</v>
      </c>
      <c r="B26" s="3">
        <v>0.3</v>
      </c>
      <c r="C26" s="3">
        <v>0</v>
      </c>
      <c r="D26" s="9">
        <v>3</v>
      </c>
      <c r="E26" s="5" t="s">
        <v>32</v>
      </c>
      <c r="F26" s="10">
        <v>2448.143</v>
      </c>
      <c r="G26" s="5">
        <v>2571.9634799966097</v>
      </c>
      <c r="H26" s="10">
        <v>2556.0395487287101</v>
      </c>
      <c r="I26" s="5">
        <v>2448.2950000000001</v>
      </c>
      <c r="J26" s="7">
        <f t="shared" si="0"/>
        <v>1.0000620878764026</v>
      </c>
      <c r="K26" s="5" t="s">
        <v>32</v>
      </c>
      <c r="L26" s="5">
        <v>1800.39541697502</v>
      </c>
      <c r="M26" s="5">
        <v>84.167877435684204</v>
      </c>
      <c r="N26" s="5">
        <v>1800.16410398483</v>
      </c>
      <c r="O26" s="3">
        <v>98</v>
      </c>
      <c r="P26" s="3">
        <v>180</v>
      </c>
    </row>
    <row r="27" spans="1:16" ht="15" x14ac:dyDescent="0.35">
      <c r="A27" s="3"/>
      <c r="B27" s="3">
        <v>0.5</v>
      </c>
      <c r="C27" s="3">
        <v>0</v>
      </c>
      <c r="D27" s="9">
        <v>2</v>
      </c>
      <c r="E27" s="5" t="s">
        <v>32</v>
      </c>
      <c r="F27" s="10">
        <v>3260.8180000000002</v>
      </c>
      <c r="G27" s="5">
        <v>3509.5640157101002</v>
      </c>
      <c r="H27" s="10">
        <v>3482.4122089579901</v>
      </c>
      <c r="I27" s="5">
        <v>3263.819</v>
      </c>
      <c r="J27" s="7">
        <f t="shared" si="0"/>
        <v>1.0009203212200128</v>
      </c>
      <c r="K27" s="5" t="s">
        <v>32</v>
      </c>
      <c r="L27" s="5">
        <v>1800.3879854679101</v>
      </c>
      <c r="M27" s="5">
        <v>90.850393533706594</v>
      </c>
      <c r="N27" s="5">
        <v>1807.97025179862</v>
      </c>
      <c r="O27" s="3">
        <v>130</v>
      </c>
      <c r="P27" s="3">
        <v>218</v>
      </c>
    </row>
    <row r="28" spans="1:16" ht="15" x14ac:dyDescent="0.35">
      <c r="A28" s="3"/>
      <c r="B28" s="3">
        <v>0.8</v>
      </c>
      <c r="C28" s="3">
        <v>0</v>
      </c>
      <c r="D28" s="9">
        <v>3</v>
      </c>
      <c r="E28" s="5" t="s">
        <v>32</v>
      </c>
      <c r="F28" s="10">
        <v>4910.3729999999996</v>
      </c>
      <c r="G28" s="5">
        <v>5574.9057333332703</v>
      </c>
      <c r="H28" s="10">
        <v>5399.0783600002605</v>
      </c>
      <c r="I28" s="5">
        <v>4919.7190000000001</v>
      </c>
      <c r="J28" s="7">
        <f t="shared" si="0"/>
        <v>1.0019033177316674</v>
      </c>
      <c r="K28" s="5" t="s">
        <v>32</v>
      </c>
      <c r="L28" s="5">
        <v>1800.3728561401299</v>
      </c>
      <c r="M28" s="5">
        <v>82.101927995681706</v>
      </c>
      <c r="N28" s="5">
        <v>1800.3432898521401</v>
      </c>
      <c r="O28" s="3">
        <v>103</v>
      </c>
      <c r="P28" s="3">
        <v>189</v>
      </c>
    </row>
    <row r="29" spans="1:16" s="3" customFormat="1" x14ac:dyDescent="0.25">
      <c r="C29" s="3">
        <f>SUM(C2:C28)</f>
        <v>32</v>
      </c>
      <c r="D29" s="3">
        <f>SUM(D2:D28)</f>
        <v>150</v>
      </c>
      <c r="J29" s="7">
        <f>AVERAGE(J2:J28)</f>
        <v>1.0326817270257651</v>
      </c>
      <c r="M29" s="5">
        <f>AVERAGE(M2:M28)</f>
        <v>24.092181779720139</v>
      </c>
      <c r="N29" s="5">
        <f>AVERAGE(N2:N28)</f>
        <v>1241.954105306552</v>
      </c>
      <c r="O29" s="7">
        <f t="shared" ref="O29:P29" si="1">AVERAGE(O2:O28)</f>
        <v>59.25925925925926</v>
      </c>
      <c r="P29" s="7">
        <f t="shared" si="1"/>
        <v>94.407407407407405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42DF-BA66-43D9-A8C2-9F6B87A53FC3}">
  <dimension ref="A1:M60"/>
  <sheetViews>
    <sheetView workbookViewId="0">
      <selection activeCell="M21" sqref="M21"/>
    </sheetView>
  </sheetViews>
  <sheetFormatPr defaultColWidth="8.90625" defaultRowHeight="14" x14ac:dyDescent="0.25"/>
  <cols>
    <col min="8" max="8" width="8.90625" bestFit="1" customWidth="1"/>
    <col min="9" max="9" width="9.6328125" bestFit="1" customWidth="1"/>
    <col min="10" max="10" width="9" bestFit="1" customWidth="1"/>
    <col min="11" max="11" width="9.36328125" bestFit="1" customWidth="1"/>
    <col min="17" max="17" width="9" customWidth="1"/>
  </cols>
  <sheetData>
    <row r="1" spans="1:13" x14ac:dyDescent="0.25">
      <c r="B1" t="s">
        <v>0</v>
      </c>
      <c r="C1" t="s">
        <v>3</v>
      </c>
      <c r="D1" s="3" t="s">
        <v>25</v>
      </c>
      <c r="E1" s="3" t="s">
        <v>26</v>
      </c>
      <c r="F1" s="3" t="s">
        <v>9</v>
      </c>
      <c r="G1" s="3" t="s">
        <v>31</v>
      </c>
      <c r="H1" s="3" t="s">
        <v>8</v>
      </c>
      <c r="I1" s="3" t="s">
        <v>18</v>
      </c>
      <c r="J1" s="3" t="s">
        <v>27</v>
      </c>
      <c r="K1" s="3" t="s">
        <v>28</v>
      </c>
      <c r="L1" s="3" t="s">
        <v>29</v>
      </c>
      <c r="M1" s="3" t="s">
        <v>30</v>
      </c>
    </row>
    <row r="2" spans="1:13" x14ac:dyDescent="0.25">
      <c r="A2" t="s">
        <v>21</v>
      </c>
      <c r="B2">
        <v>2</v>
      </c>
      <c r="C2">
        <v>0.3</v>
      </c>
      <c r="D2" s="5">
        <v>19.239000000000001</v>
      </c>
      <c r="E2" s="5">
        <v>19.239000000000001</v>
      </c>
      <c r="F2" s="5">
        <v>19.239000000000001</v>
      </c>
      <c r="G2" s="7">
        <f>F2/MAX(D2,E2)</f>
        <v>1</v>
      </c>
      <c r="H2" s="5">
        <v>19.239000000000001</v>
      </c>
      <c r="I2" s="5">
        <v>19.239000000000001</v>
      </c>
      <c r="J2" s="5">
        <v>3.6913871765136698E-2</v>
      </c>
      <c r="K2" s="5">
        <v>8.8136672973632799E-2</v>
      </c>
      <c r="L2" s="3">
        <v>2</v>
      </c>
      <c r="M2" s="3">
        <v>1</v>
      </c>
    </row>
    <row r="3" spans="1:13" x14ac:dyDescent="0.25">
      <c r="A3" t="s">
        <v>21</v>
      </c>
      <c r="C3">
        <v>0.5</v>
      </c>
      <c r="D3" s="5">
        <v>21.556000000000001</v>
      </c>
      <c r="E3" s="5">
        <v>22.274000000000001</v>
      </c>
      <c r="F3" s="5">
        <v>22.274000000000001</v>
      </c>
      <c r="G3" s="7">
        <f t="shared" ref="G3:G28" si="0">F3/MAX(D3,E3)</f>
        <v>1</v>
      </c>
      <c r="H3" s="5">
        <v>22.274000000000001</v>
      </c>
      <c r="I3" s="5">
        <v>22.274999999999999</v>
      </c>
      <c r="J3" s="5">
        <v>0.12519192695617601</v>
      </c>
      <c r="K3" s="5">
        <v>2.3109867572784402</v>
      </c>
      <c r="L3" s="3">
        <v>2</v>
      </c>
      <c r="M3" s="3">
        <v>1</v>
      </c>
    </row>
    <row r="4" spans="1:13" x14ac:dyDescent="0.25">
      <c r="A4" t="s">
        <v>21</v>
      </c>
      <c r="C4">
        <v>0.8</v>
      </c>
      <c r="D4" s="5">
        <v>22.568999999999999</v>
      </c>
      <c r="E4" s="5">
        <v>22.568999999999999</v>
      </c>
      <c r="F4" s="5">
        <v>24.882000000000001</v>
      </c>
      <c r="G4" s="7">
        <f t="shared" si="0"/>
        <v>1.1024857104878374</v>
      </c>
      <c r="H4" s="5">
        <v>23.338999999999999</v>
      </c>
      <c r="I4" s="5">
        <v>23.339000000000897</v>
      </c>
      <c r="J4" s="5">
        <v>8.6431741714477497E-2</v>
      </c>
      <c r="K4" s="5">
        <v>0.43130540847778298</v>
      </c>
      <c r="L4" s="3">
        <v>2</v>
      </c>
      <c r="M4" s="3">
        <v>2</v>
      </c>
    </row>
    <row r="5" spans="1:13" x14ac:dyDescent="0.25">
      <c r="A5" t="s">
        <v>21</v>
      </c>
      <c r="B5">
        <v>3</v>
      </c>
      <c r="C5">
        <v>0.3</v>
      </c>
      <c r="D5" s="5">
        <v>22.039000000000001</v>
      </c>
      <c r="E5" s="5">
        <v>27.641999999999999</v>
      </c>
      <c r="F5" s="5">
        <v>27.641999999999999</v>
      </c>
      <c r="G5" s="7">
        <f t="shared" si="0"/>
        <v>1</v>
      </c>
      <c r="H5" s="5">
        <v>27.641999999999999</v>
      </c>
      <c r="I5" s="5">
        <v>27.641999999999801</v>
      </c>
      <c r="J5" s="5">
        <v>0.17222785949707001</v>
      </c>
      <c r="K5" s="5">
        <v>2.3871099948882999</v>
      </c>
      <c r="L5" s="3">
        <v>2</v>
      </c>
      <c r="M5" s="3">
        <v>1</v>
      </c>
    </row>
    <row r="6" spans="1:13" x14ac:dyDescent="0.25">
      <c r="A6" t="s">
        <v>21</v>
      </c>
      <c r="C6">
        <v>0.5</v>
      </c>
      <c r="D6" s="5">
        <v>38.789000000000001</v>
      </c>
      <c r="E6" s="5">
        <v>42.106999999999999</v>
      </c>
      <c r="F6" s="5">
        <v>42.106999999999999</v>
      </c>
      <c r="G6" s="7">
        <f t="shared" si="0"/>
        <v>1</v>
      </c>
      <c r="H6" s="5">
        <v>42.106999999999999</v>
      </c>
      <c r="I6" s="5">
        <v>42.109000000000002</v>
      </c>
      <c r="J6" s="5">
        <v>0.165852546691894</v>
      </c>
      <c r="K6" s="5">
        <v>6.8651559352874703</v>
      </c>
      <c r="L6" s="3">
        <v>2</v>
      </c>
      <c r="M6" s="3">
        <v>1</v>
      </c>
    </row>
    <row r="7" spans="1:13" x14ac:dyDescent="0.25">
      <c r="A7" t="s">
        <v>21</v>
      </c>
      <c r="C7">
        <v>0.8</v>
      </c>
      <c r="D7" s="5">
        <v>53.134</v>
      </c>
      <c r="E7" s="5">
        <v>53.134</v>
      </c>
      <c r="F7" s="5">
        <v>53.134</v>
      </c>
      <c r="G7" s="7">
        <f t="shared" si="0"/>
        <v>1</v>
      </c>
      <c r="H7" s="5">
        <v>53.134</v>
      </c>
      <c r="I7" s="5">
        <v>53.134</v>
      </c>
      <c r="J7" s="5">
        <v>0.123930215835571</v>
      </c>
      <c r="K7" s="5">
        <v>0.244081020355224</v>
      </c>
      <c r="L7" s="3">
        <v>2</v>
      </c>
      <c r="M7" s="3">
        <v>1</v>
      </c>
    </row>
    <row r="8" spans="1:13" ht="15" x14ac:dyDescent="0.35">
      <c r="A8" t="s">
        <v>21</v>
      </c>
      <c r="B8">
        <v>5</v>
      </c>
      <c r="C8">
        <v>0.3</v>
      </c>
      <c r="D8" s="5">
        <v>83.512</v>
      </c>
      <c r="E8" s="5">
        <v>90.366</v>
      </c>
      <c r="F8" s="5">
        <v>90.366</v>
      </c>
      <c r="G8" s="7">
        <f t="shared" si="0"/>
        <v>1</v>
      </c>
      <c r="H8" s="11">
        <v>90.364000000000004</v>
      </c>
      <c r="I8" s="11">
        <v>90.37</v>
      </c>
      <c r="J8" s="5">
        <v>0.36515164375305098</v>
      </c>
      <c r="K8" s="5">
        <v>13.7991976737976</v>
      </c>
      <c r="L8" s="3">
        <v>2</v>
      </c>
      <c r="M8" s="3">
        <v>1</v>
      </c>
    </row>
    <row r="9" spans="1:13" ht="15" x14ac:dyDescent="0.35">
      <c r="A9" t="s">
        <v>21</v>
      </c>
      <c r="C9">
        <v>0.5</v>
      </c>
      <c r="D9" s="5">
        <v>84.959000000000003</v>
      </c>
      <c r="E9" s="5">
        <v>100.601</v>
      </c>
      <c r="F9" s="5">
        <v>100.601</v>
      </c>
      <c r="G9" s="7">
        <f t="shared" si="0"/>
        <v>1</v>
      </c>
      <c r="H9" s="11">
        <v>100.601</v>
      </c>
      <c r="I9" s="11">
        <v>101.187</v>
      </c>
      <c r="J9" s="5">
        <v>0.50415468215942305</v>
      </c>
      <c r="K9" s="5">
        <v>301.04412984848</v>
      </c>
      <c r="L9" s="3">
        <v>2</v>
      </c>
      <c r="M9" s="3">
        <v>1</v>
      </c>
    </row>
    <row r="10" spans="1:13" ht="15" x14ac:dyDescent="0.35">
      <c r="A10" t="s">
        <v>21</v>
      </c>
      <c r="C10">
        <v>0.8</v>
      </c>
      <c r="D10" s="5">
        <v>146.898</v>
      </c>
      <c r="E10" s="5">
        <v>156.66300000000001</v>
      </c>
      <c r="F10" s="5">
        <v>156.70699999999999</v>
      </c>
      <c r="G10" s="7">
        <f t="shared" si="0"/>
        <v>1.0002808576370936</v>
      </c>
      <c r="H10" s="11">
        <v>156.74</v>
      </c>
      <c r="I10" s="11">
        <v>157.35499999999999</v>
      </c>
      <c r="J10" s="5">
        <v>0.50322318077087402</v>
      </c>
      <c r="K10" s="5">
        <v>301.14838647842402</v>
      </c>
      <c r="L10" s="3">
        <v>2</v>
      </c>
      <c r="M10" s="3">
        <v>1</v>
      </c>
    </row>
    <row r="11" spans="1:13" ht="15" x14ac:dyDescent="0.35">
      <c r="A11" t="s">
        <v>21</v>
      </c>
      <c r="B11">
        <v>8</v>
      </c>
      <c r="C11">
        <v>0.3</v>
      </c>
      <c r="D11" s="5">
        <v>130.108</v>
      </c>
      <c r="E11" s="5">
        <v>130.108</v>
      </c>
      <c r="F11" s="5">
        <v>149.94800000000001</v>
      </c>
      <c r="G11" s="7">
        <f t="shared" si="0"/>
        <v>1.1524887016939773</v>
      </c>
      <c r="H11" s="11">
        <v>134.14500000000001</v>
      </c>
      <c r="I11" s="11">
        <v>134.15799999999999</v>
      </c>
      <c r="J11" s="5">
        <v>1.63277387619018</v>
      </c>
      <c r="K11" s="5">
        <v>5.2882554531097403</v>
      </c>
      <c r="L11" s="3">
        <v>2</v>
      </c>
      <c r="M11" s="3">
        <v>3</v>
      </c>
    </row>
    <row r="12" spans="1:13" ht="15" x14ac:dyDescent="0.35">
      <c r="A12" t="s">
        <v>21</v>
      </c>
      <c r="C12">
        <v>0.5</v>
      </c>
      <c r="D12" s="5">
        <v>169.12700000000001</v>
      </c>
      <c r="E12" s="5">
        <v>252.22200000000001</v>
      </c>
      <c r="F12" s="5">
        <v>252.22200000000001</v>
      </c>
      <c r="G12" s="7">
        <f t="shared" si="0"/>
        <v>1</v>
      </c>
      <c r="H12" s="11">
        <v>252.22499999999999</v>
      </c>
      <c r="I12" s="11">
        <v>260.16800000000001</v>
      </c>
      <c r="J12" s="5">
        <v>1.56122493743896</v>
      </c>
      <c r="K12" s="5">
        <v>302.75667905807398</v>
      </c>
      <c r="L12" s="3">
        <v>2</v>
      </c>
      <c r="M12" s="3">
        <v>1</v>
      </c>
    </row>
    <row r="13" spans="1:13" ht="15" x14ac:dyDescent="0.35">
      <c r="A13" t="s">
        <v>21</v>
      </c>
      <c r="C13">
        <v>0.8</v>
      </c>
      <c r="D13" s="5">
        <v>269.91000000000003</v>
      </c>
      <c r="E13" s="5">
        <v>341.38499999999999</v>
      </c>
      <c r="F13" s="5">
        <v>381.28199999999998</v>
      </c>
      <c r="G13" s="7">
        <f t="shared" si="0"/>
        <v>1.1168680521991301</v>
      </c>
      <c r="H13" s="11">
        <v>349.202</v>
      </c>
      <c r="I13" s="11">
        <v>353.36200000000002</v>
      </c>
      <c r="J13" s="5">
        <v>1.39993047714233</v>
      </c>
      <c r="K13" s="5">
        <v>232.62599396705599</v>
      </c>
      <c r="L13" s="3">
        <v>2</v>
      </c>
      <c r="M13" s="3">
        <v>3</v>
      </c>
    </row>
    <row r="14" spans="1:13" ht="15" x14ac:dyDescent="0.35">
      <c r="A14" t="s">
        <v>21</v>
      </c>
      <c r="B14">
        <v>10</v>
      </c>
      <c r="C14">
        <v>0.3</v>
      </c>
      <c r="D14" s="5">
        <v>308.12200000000001</v>
      </c>
      <c r="E14" s="5">
        <v>317.23099999999999</v>
      </c>
      <c r="F14" s="5">
        <v>317.23099999999999</v>
      </c>
      <c r="G14" s="7">
        <f t="shared" si="0"/>
        <v>1</v>
      </c>
      <c r="H14" s="11">
        <v>317.23099999999999</v>
      </c>
      <c r="I14" s="11">
        <v>317.255805924502</v>
      </c>
      <c r="J14" s="5">
        <v>2.6042881011962802</v>
      </c>
      <c r="K14" s="5">
        <v>304.540309667587</v>
      </c>
      <c r="L14" s="3">
        <v>2</v>
      </c>
      <c r="M14" s="3">
        <v>1</v>
      </c>
    </row>
    <row r="15" spans="1:13" ht="15" x14ac:dyDescent="0.35">
      <c r="A15" t="s">
        <v>21</v>
      </c>
      <c r="C15">
        <v>0.5</v>
      </c>
      <c r="D15" s="5">
        <v>289.774</v>
      </c>
      <c r="E15" s="5">
        <v>361.65100000000001</v>
      </c>
      <c r="F15" s="5">
        <v>361.65100000000001</v>
      </c>
      <c r="G15" s="7">
        <f t="shared" si="0"/>
        <v>1</v>
      </c>
      <c r="H15" s="11">
        <v>361.71100000000001</v>
      </c>
      <c r="I15" s="11">
        <v>372.38299999999998</v>
      </c>
      <c r="J15" s="5">
        <v>1.61579942703247</v>
      </c>
      <c r="K15" s="5">
        <v>302.814349174499</v>
      </c>
      <c r="L15" s="3">
        <v>2</v>
      </c>
      <c r="M15" s="3">
        <v>1</v>
      </c>
    </row>
    <row r="16" spans="1:13" ht="15" x14ac:dyDescent="0.35">
      <c r="A16" t="s">
        <v>21</v>
      </c>
      <c r="C16">
        <v>0.8</v>
      </c>
      <c r="D16" s="5">
        <v>412.19299999999998</v>
      </c>
      <c r="E16" s="5">
        <v>539.83699999999999</v>
      </c>
      <c r="F16" s="5">
        <v>539.83699999999999</v>
      </c>
      <c r="G16" s="7">
        <f t="shared" si="0"/>
        <v>1</v>
      </c>
      <c r="H16" s="11">
        <v>538.05700000000002</v>
      </c>
      <c r="I16" s="11">
        <v>549.327</v>
      </c>
      <c r="J16" s="5">
        <v>2.0132462978363002</v>
      </c>
      <c r="K16" s="5">
        <v>303.80264091491699</v>
      </c>
      <c r="L16" s="3">
        <v>2</v>
      </c>
      <c r="M16" s="3">
        <v>1</v>
      </c>
    </row>
    <row r="17" spans="1:13" ht="15" x14ac:dyDescent="0.35">
      <c r="A17" t="s">
        <v>21</v>
      </c>
      <c r="B17">
        <v>15</v>
      </c>
      <c r="C17">
        <v>0.3</v>
      </c>
      <c r="D17" s="5">
        <v>630.39300000000003</v>
      </c>
      <c r="E17" s="5">
        <v>725.43200000000002</v>
      </c>
      <c r="F17" s="5">
        <v>725.43200000000002</v>
      </c>
      <c r="G17" s="7">
        <f t="shared" si="0"/>
        <v>1</v>
      </c>
      <c r="H17" s="11">
        <v>725.38499999999999</v>
      </c>
      <c r="I17" s="11">
        <v>745.86959317794299</v>
      </c>
      <c r="J17" s="5">
        <v>4.7494256496429399</v>
      </c>
      <c r="K17" s="5">
        <v>307.82332944869898</v>
      </c>
      <c r="L17" s="3">
        <v>2</v>
      </c>
      <c r="M17" s="3">
        <v>1</v>
      </c>
    </row>
    <row r="18" spans="1:13" ht="15" x14ac:dyDescent="0.35">
      <c r="A18" t="s">
        <v>21</v>
      </c>
      <c r="C18">
        <v>0.5</v>
      </c>
      <c r="D18" s="5">
        <v>576.88499999999999</v>
      </c>
      <c r="E18" s="5">
        <v>576.88499999999999</v>
      </c>
      <c r="F18" s="5">
        <v>857.54899999999998</v>
      </c>
      <c r="G18" s="7">
        <f t="shared" si="0"/>
        <v>1.486516376747532</v>
      </c>
      <c r="H18" s="11">
        <v>708.44100000000003</v>
      </c>
      <c r="I18" s="11">
        <v>730.10172728186205</v>
      </c>
      <c r="J18" s="5">
        <v>6.0982820987701398</v>
      </c>
      <c r="K18" s="5">
        <v>23.653634309768599</v>
      </c>
      <c r="L18" s="3">
        <v>2</v>
      </c>
      <c r="M18" s="3">
        <v>3</v>
      </c>
    </row>
    <row r="19" spans="1:13" ht="15" x14ac:dyDescent="0.35">
      <c r="A19" t="s">
        <v>21</v>
      </c>
      <c r="C19">
        <v>0.8</v>
      </c>
      <c r="D19" s="5">
        <v>886.27599999999995</v>
      </c>
      <c r="E19" s="5">
        <v>1212.213</v>
      </c>
      <c r="F19" s="5">
        <v>1219.7360000000001</v>
      </c>
      <c r="G19" s="7">
        <f t="shared" si="0"/>
        <v>1.0062060050502677</v>
      </c>
      <c r="H19" s="11">
        <v>1216.527</v>
      </c>
      <c r="I19" s="11">
        <v>1249.19272464498</v>
      </c>
      <c r="J19" s="5">
        <v>5.7219345569610596</v>
      </c>
      <c r="K19" s="5">
        <v>311.270617008209</v>
      </c>
      <c r="L19" s="3">
        <v>2</v>
      </c>
      <c r="M19" s="3">
        <v>3</v>
      </c>
    </row>
    <row r="20" spans="1:13" ht="15" x14ac:dyDescent="0.35">
      <c r="A20" t="s">
        <v>21</v>
      </c>
      <c r="B20">
        <v>20</v>
      </c>
      <c r="C20">
        <v>0.3</v>
      </c>
      <c r="D20" s="5">
        <v>656.072</v>
      </c>
      <c r="E20" s="5">
        <v>904.53800000000001</v>
      </c>
      <c r="F20" s="5">
        <v>904.53800000000001</v>
      </c>
      <c r="G20" s="7">
        <f t="shared" si="0"/>
        <v>1</v>
      </c>
      <c r="H20" s="11">
        <v>904.54</v>
      </c>
      <c r="I20" s="11">
        <v>922.50932225238603</v>
      </c>
      <c r="J20" s="5">
        <v>10.363933563232401</v>
      </c>
      <c r="K20" s="5">
        <v>319.15165519714299</v>
      </c>
      <c r="L20" s="3">
        <v>2</v>
      </c>
      <c r="M20" s="3">
        <v>1</v>
      </c>
    </row>
    <row r="21" spans="1:13" ht="15" x14ac:dyDescent="0.35">
      <c r="A21" t="s">
        <v>21</v>
      </c>
      <c r="C21">
        <v>0.5</v>
      </c>
      <c r="D21" s="5">
        <v>1088.972</v>
      </c>
      <c r="E21" s="5">
        <v>1398.7719999999999</v>
      </c>
      <c r="F21" s="5">
        <v>1529.1379999999999</v>
      </c>
      <c r="G21" s="7">
        <f t="shared" si="0"/>
        <v>1.0932003214247925</v>
      </c>
      <c r="H21" s="11">
        <v>1282.134</v>
      </c>
      <c r="I21" s="11">
        <v>1472.8202090182499</v>
      </c>
      <c r="J21" s="5">
        <v>11.0834236145019</v>
      </c>
      <c r="K21" s="5">
        <v>319.8287961483</v>
      </c>
      <c r="L21" s="3">
        <v>2</v>
      </c>
      <c r="M21" s="3">
        <v>1</v>
      </c>
    </row>
    <row r="22" spans="1:13" ht="15" x14ac:dyDescent="0.35">
      <c r="A22" t="s">
        <v>21</v>
      </c>
      <c r="C22">
        <v>0.8</v>
      </c>
      <c r="D22" s="5">
        <v>1317.6479999999999</v>
      </c>
      <c r="E22" s="5">
        <v>1701.4390000000001</v>
      </c>
      <c r="F22" s="5">
        <v>2415.5210000000002</v>
      </c>
      <c r="G22" s="7">
        <f t="shared" si="0"/>
        <v>1.4196929775325475</v>
      </c>
      <c r="H22" s="11">
        <v>2024.377</v>
      </c>
      <c r="I22" s="11">
        <v>2207.20861674752</v>
      </c>
      <c r="J22" s="5">
        <v>13.0674605369567</v>
      </c>
      <c r="K22" s="5">
        <v>323.905571699142</v>
      </c>
      <c r="L22" s="3">
        <v>2</v>
      </c>
      <c r="M22" s="3">
        <v>3</v>
      </c>
    </row>
    <row r="23" spans="1:13" ht="15" x14ac:dyDescent="0.35">
      <c r="A23" t="s">
        <v>21</v>
      </c>
      <c r="B23">
        <v>25</v>
      </c>
      <c r="C23">
        <v>0.3</v>
      </c>
      <c r="D23" s="5">
        <v>1419.53</v>
      </c>
      <c r="E23" s="5">
        <v>1764.963</v>
      </c>
      <c r="F23" s="5">
        <v>1764.963</v>
      </c>
      <c r="G23" s="7">
        <f t="shared" si="0"/>
        <v>1</v>
      </c>
      <c r="H23" s="11">
        <v>1764.9649999999999</v>
      </c>
      <c r="I23" s="11">
        <v>1819.5369787071602</v>
      </c>
      <c r="J23" s="5">
        <v>17.972014904022199</v>
      </c>
      <c r="K23" s="5">
        <v>328.90554690361</v>
      </c>
      <c r="L23" s="3">
        <v>2</v>
      </c>
      <c r="M23" s="3">
        <v>1</v>
      </c>
    </row>
    <row r="24" spans="1:13" ht="15" x14ac:dyDescent="0.35">
      <c r="A24" t="s">
        <v>21</v>
      </c>
      <c r="C24">
        <v>0.5</v>
      </c>
      <c r="D24" s="5">
        <v>2140.7449999999999</v>
      </c>
      <c r="E24" s="5">
        <v>2597.5410000000002</v>
      </c>
      <c r="F24" s="5">
        <v>2597.692</v>
      </c>
      <c r="G24" s="7">
        <f t="shared" si="0"/>
        <v>1.0000581319024415</v>
      </c>
      <c r="H24" s="11">
        <v>2597.402</v>
      </c>
      <c r="I24" s="11">
        <v>2767.9044599773702</v>
      </c>
      <c r="J24" s="5">
        <v>18.967982292175201</v>
      </c>
      <c r="K24" s="5">
        <v>334.68224930763199</v>
      </c>
      <c r="L24" s="3">
        <v>2</v>
      </c>
      <c r="M24" s="3">
        <v>2</v>
      </c>
    </row>
    <row r="25" spans="1:13" ht="15" x14ac:dyDescent="0.35">
      <c r="A25" t="s">
        <v>21</v>
      </c>
      <c r="C25">
        <v>0.8</v>
      </c>
      <c r="D25" s="5">
        <v>2246.808</v>
      </c>
      <c r="E25" s="5">
        <v>3294.04</v>
      </c>
      <c r="F25" s="5">
        <v>3312.8119999999999</v>
      </c>
      <c r="G25" s="7">
        <f t="shared" si="0"/>
        <v>1.0056987771854622</v>
      </c>
      <c r="H25" s="11">
        <v>3307.38</v>
      </c>
      <c r="I25" s="11">
        <v>3541.1087517360902</v>
      </c>
      <c r="J25" s="5">
        <v>18.8518753051757</v>
      </c>
      <c r="K25" s="5">
        <v>336.38929820060702</v>
      </c>
      <c r="L25" s="3">
        <v>2</v>
      </c>
      <c r="M25" s="3">
        <v>3</v>
      </c>
    </row>
    <row r="26" spans="1:13" ht="15" x14ac:dyDescent="0.35">
      <c r="A26" t="s">
        <v>21</v>
      </c>
      <c r="B26">
        <v>30</v>
      </c>
      <c r="C26">
        <v>0.3</v>
      </c>
      <c r="D26" s="5">
        <v>1780.249</v>
      </c>
      <c r="E26" s="5">
        <v>2448.1970000000001</v>
      </c>
      <c r="F26" s="5">
        <v>2448.2950000000001</v>
      </c>
      <c r="G26" s="7">
        <f t="shared" si="0"/>
        <v>1.0000400294584137</v>
      </c>
      <c r="H26" s="11">
        <v>2448.143</v>
      </c>
      <c r="I26" s="11">
        <v>2556.0395487287101</v>
      </c>
      <c r="J26" s="5">
        <v>26.086484670638999</v>
      </c>
      <c r="K26" s="5">
        <v>345.55411434173499</v>
      </c>
      <c r="L26" s="3">
        <v>2</v>
      </c>
      <c r="M26" s="3">
        <v>2</v>
      </c>
    </row>
    <row r="27" spans="1:13" ht="15" x14ac:dyDescent="0.35">
      <c r="A27" t="s">
        <v>21</v>
      </c>
      <c r="C27">
        <v>0.5</v>
      </c>
      <c r="D27" s="5">
        <v>2704.9470000000001</v>
      </c>
      <c r="E27" s="5">
        <v>3263.819</v>
      </c>
      <c r="F27" s="5">
        <v>3263.819</v>
      </c>
      <c r="G27" s="7">
        <f t="shared" si="0"/>
        <v>1</v>
      </c>
      <c r="H27" s="11">
        <v>3260.8180000000002</v>
      </c>
      <c r="I27" s="11">
        <v>3482.4122089579901</v>
      </c>
      <c r="J27" s="5">
        <v>29.828792572021399</v>
      </c>
      <c r="K27" s="5">
        <v>349.14551806449799</v>
      </c>
      <c r="L27" s="3">
        <v>2</v>
      </c>
      <c r="M27" s="3">
        <v>1</v>
      </c>
    </row>
    <row r="28" spans="1:13" ht="15" x14ac:dyDescent="0.35">
      <c r="A28" t="s">
        <v>21</v>
      </c>
      <c r="C28">
        <v>0.8</v>
      </c>
      <c r="D28" s="5">
        <v>3724.0129999999999</v>
      </c>
      <c r="E28" s="5">
        <v>4919.7190000000001</v>
      </c>
      <c r="F28" s="5">
        <v>4919.7190000000001</v>
      </c>
      <c r="G28" s="7">
        <f t="shared" si="0"/>
        <v>1</v>
      </c>
      <c r="H28" s="11">
        <v>4910.3729999999996</v>
      </c>
      <c r="I28" s="11">
        <v>5399.0783600002605</v>
      </c>
      <c r="J28" s="5">
        <v>28.1008446216583</v>
      </c>
      <c r="K28" s="5">
        <v>346.41636061668299</v>
      </c>
      <c r="L28" s="3">
        <v>2</v>
      </c>
      <c r="M28" s="3">
        <v>1</v>
      </c>
    </row>
    <row r="29" spans="1:13" x14ac:dyDescent="0.25">
      <c r="D29" s="1">
        <f>AVERAGE(D2:D28)</f>
        <v>786.83211111111109</v>
      </c>
      <c r="E29" s="1">
        <f t="shared" ref="E29:I29" si="1">AVERAGE(E2:E28)</f>
        <v>1010.5402592592592</v>
      </c>
      <c r="F29" s="1">
        <f t="shared" si="1"/>
        <v>1055.493962962963</v>
      </c>
      <c r="G29" s="2">
        <f t="shared" si="1"/>
        <v>1.0512420719007221</v>
      </c>
      <c r="H29" s="1">
        <f t="shared" si="1"/>
        <v>1023.648</v>
      </c>
      <c r="I29" s="1">
        <f t="shared" si="1"/>
        <v>1089.5217150798157</v>
      </c>
      <c r="J29" s="1">
        <f t="shared" ref="J29:M29" si="2">AVERAGE(J2:J28)</f>
        <v>7.548251673027301</v>
      </c>
      <c r="K29" s="1">
        <f t="shared" si="2"/>
        <v>212.10642256560126</v>
      </c>
      <c r="L29" s="1">
        <f t="shared" si="2"/>
        <v>2</v>
      </c>
      <c r="M29" s="1">
        <f t="shared" si="2"/>
        <v>1.5555555555555556</v>
      </c>
    </row>
    <row r="33" spans="4:13" x14ac:dyDescent="0.25">
      <c r="D33" s="3"/>
      <c r="E33" s="3"/>
      <c r="F33" s="3"/>
      <c r="G33" s="3"/>
      <c r="J33" s="3"/>
      <c r="K33" s="3"/>
      <c r="L33" s="3"/>
      <c r="M33" s="3"/>
    </row>
    <row r="34" spans="4:13" ht="15" x14ac:dyDescent="0.35">
      <c r="D34" s="5"/>
      <c r="E34" s="5"/>
      <c r="F34" s="5"/>
      <c r="G34" s="2"/>
      <c r="H34" s="6"/>
      <c r="I34" s="6"/>
      <c r="J34" s="3"/>
      <c r="K34" s="4"/>
      <c r="L34" s="3"/>
      <c r="M34" s="3"/>
    </row>
    <row r="35" spans="4:13" ht="15" x14ac:dyDescent="0.35">
      <c r="D35" s="5"/>
      <c r="E35" s="5"/>
      <c r="F35" s="5"/>
      <c r="G35" s="2"/>
      <c r="H35" s="6"/>
      <c r="I35" s="6"/>
      <c r="J35" s="4"/>
      <c r="K35" s="4"/>
      <c r="L35" s="3"/>
      <c r="M35" s="3"/>
    </row>
    <row r="36" spans="4:13" ht="15" x14ac:dyDescent="0.35">
      <c r="D36" s="5"/>
      <c r="E36" s="5"/>
      <c r="F36" s="5"/>
      <c r="G36" s="2"/>
      <c r="H36" s="6"/>
      <c r="I36" s="8"/>
      <c r="J36" s="3"/>
      <c r="K36" s="3"/>
      <c r="L36" s="3"/>
      <c r="M36" s="3"/>
    </row>
    <row r="37" spans="4:13" ht="15" x14ac:dyDescent="0.35">
      <c r="D37" s="5"/>
      <c r="E37" s="5"/>
      <c r="F37" s="5"/>
      <c r="G37" s="2"/>
      <c r="H37" s="6"/>
      <c r="I37" s="8"/>
      <c r="J37" s="4"/>
      <c r="K37" s="4"/>
      <c r="L37" s="3"/>
      <c r="M37" s="3"/>
    </row>
    <row r="38" spans="4:13" ht="15" x14ac:dyDescent="0.35">
      <c r="D38" s="5"/>
      <c r="E38" s="5"/>
      <c r="F38" s="5"/>
      <c r="G38" s="2"/>
      <c r="H38" s="6"/>
      <c r="I38" s="6"/>
      <c r="J38" s="4"/>
      <c r="K38" s="4"/>
      <c r="L38" s="3"/>
      <c r="M38" s="3"/>
    </row>
    <row r="39" spans="4:13" ht="15" x14ac:dyDescent="0.35">
      <c r="D39" s="5"/>
      <c r="E39" s="5"/>
      <c r="F39" s="5"/>
      <c r="G39" s="2"/>
      <c r="H39" s="6"/>
      <c r="I39" s="6"/>
      <c r="J39" s="3"/>
      <c r="K39" s="4"/>
      <c r="L39" s="3"/>
      <c r="M39" s="3"/>
    </row>
    <row r="40" spans="4:13" ht="15" x14ac:dyDescent="0.35">
      <c r="D40" s="5"/>
      <c r="E40" s="5"/>
      <c r="F40" s="5"/>
      <c r="G40" s="2"/>
      <c r="H40" s="6"/>
      <c r="I40" s="6"/>
      <c r="J40" s="3"/>
      <c r="K40" s="4"/>
      <c r="L40" s="3"/>
      <c r="M40" s="3"/>
    </row>
    <row r="41" spans="4:13" ht="15" x14ac:dyDescent="0.35">
      <c r="D41" s="5"/>
      <c r="E41" s="5"/>
      <c r="F41" s="5"/>
      <c r="G41" s="2"/>
      <c r="H41" s="6"/>
      <c r="I41" s="6"/>
      <c r="J41" s="4"/>
      <c r="K41" s="4"/>
      <c r="L41" s="3"/>
      <c r="M41" s="3"/>
    </row>
    <row r="42" spans="4:13" ht="15" x14ac:dyDescent="0.35">
      <c r="D42" s="5"/>
      <c r="E42" s="5"/>
      <c r="F42" s="5"/>
      <c r="G42" s="2"/>
      <c r="H42" s="6"/>
      <c r="I42" s="6"/>
      <c r="J42" s="4"/>
      <c r="K42" s="4"/>
      <c r="L42" s="3"/>
      <c r="M42" s="3"/>
    </row>
    <row r="43" spans="4:13" ht="15" x14ac:dyDescent="0.35">
      <c r="D43" s="5"/>
      <c r="E43" s="5"/>
      <c r="F43" s="5"/>
      <c r="G43" s="2"/>
      <c r="H43" s="6"/>
      <c r="I43" s="6"/>
      <c r="J43" s="4"/>
      <c r="K43" s="4"/>
      <c r="L43" s="3"/>
      <c r="M43" s="3"/>
    </row>
    <row r="44" spans="4:13" ht="15" x14ac:dyDescent="0.35">
      <c r="D44" s="5"/>
      <c r="E44" s="5"/>
      <c r="F44" s="5"/>
      <c r="G44" s="2"/>
      <c r="H44" s="6"/>
      <c r="I44" s="6"/>
      <c r="J44" s="4"/>
      <c r="K44" s="4"/>
      <c r="L44" s="3"/>
      <c r="M44" s="3"/>
    </row>
    <row r="45" spans="4:13" ht="15" x14ac:dyDescent="0.35">
      <c r="D45" s="5"/>
      <c r="E45" s="5"/>
      <c r="F45" s="5"/>
      <c r="G45" s="2"/>
      <c r="H45" s="6"/>
      <c r="I45" s="6"/>
      <c r="J45" s="4"/>
      <c r="K45" s="4"/>
      <c r="L45" s="3"/>
      <c r="M45" s="3"/>
    </row>
    <row r="46" spans="4:13" ht="15" x14ac:dyDescent="0.35">
      <c r="D46" s="5"/>
      <c r="E46" s="5"/>
      <c r="F46" s="5"/>
      <c r="G46" s="2"/>
      <c r="H46" s="6"/>
      <c r="I46" s="6"/>
      <c r="J46" s="4"/>
      <c r="K46" s="4"/>
      <c r="L46" s="3"/>
      <c r="M46" s="3"/>
    </row>
    <row r="47" spans="4:13" ht="15" x14ac:dyDescent="0.35">
      <c r="D47" s="5"/>
      <c r="E47" s="5"/>
      <c r="F47" s="5"/>
      <c r="G47" s="2"/>
      <c r="H47" s="6"/>
      <c r="I47" s="6"/>
      <c r="J47" s="4"/>
      <c r="K47" s="4"/>
      <c r="L47" s="3"/>
      <c r="M47" s="3"/>
    </row>
    <row r="48" spans="4:13" ht="15" x14ac:dyDescent="0.35">
      <c r="D48" s="5"/>
      <c r="E48" s="5"/>
      <c r="F48" s="5"/>
      <c r="G48" s="2"/>
      <c r="H48" s="6"/>
      <c r="I48" s="6"/>
      <c r="J48" s="4"/>
      <c r="K48" s="4"/>
      <c r="L48" s="3"/>
      <c r="M48" s="3"/>
    </row>
    <row r="49" spans="4:13" ht="15" x14ac:dyDescent="0.35">
      <c r="D49" s="5"/>
      <c r="E49" s="5"/>
      <c r="F49" s="5"/>
      <c r="G49" s="2"/>
      <c r="H49" s="6"/>
      <c r="I49" s="6"/>
      <c r="J49" s="4"/>
      <c r="K49" s="4"/>
      <c r="L49" s="3"/>
      <c r="M49" s="3"/>
    </row>
    <row r="50" spans="4:13" ht="15" x14ac:dyDescent="0.35">
      <c r="D50" s="5"/>
      <c r="E50" s="5"/>
      <c r="F50" s="5"/>
      <c r="G50" s="2"/>
      <c r="H50" s="6"/>
      <c r="I50" s="8"/>
      <c r="J50" s="4"/>
      <c r="K50" s="4"/>
      <c r="L50" s="3"/>
      <c r="M50" s="3"/>
    </row>
    <row r="51" spans="4:13" ht="15" x14ac:dyDescent="0.35">
      <c r="D51" s="5"/>
      <c r="E51" s="5"/>
      <c r="F51" s="5"/>
      <c r="G51" s="2"/>
      <c r="H51" s="6"/>
      <c r="I51" s="8"/>
      <c r="J51" s="4"/>
      <c r="K51" s="4"/>
      <c r="L51" s="3"/>
      <c r="M51" s="3"/>
    </row>
    <row r="52" spans="4:13" ht="15" x14ac:dyDescent="0.35">
      <c r="D52" s="5"/>
      <c r="E52" s="5"/>
      <c r="F52" s="5"/>
      <c r="G52" s="2"/>
      <c r="H52" s="6"/>
      <c r="I52" s="8"/>
      <c r="J52" s="4"/>
      <c r="K52" s="3"/>
      <c r="L52" s="3"/>
      <c r="M52" s="3"/>
    </row>
    <row r="53" spans="4:13" ht="15" x14ac:dyDescent="0.35">
      <c r="D53" s="5"/>
      <c r="E53" s="5"/>
      <c r="F53" s="5"/>
      <c r="G53" s="2"/>
      <c r="H53" s="6"/>
      <c r="I53" s="8"/>
      <c r="J53" s="4"/>
      <c r="K53" s="4"/>
      <c r="L53" s="3"/>
      <c r="M53" s="3"/>
    </row>
    <row r="54" spans="4:13" ht="15" x14ac:dyDescent="0.35">
      <c r="D54" s="5"/>
      <c r="E54" s="5"/>
      <c r="F54" s="5"/>
      <c r="G54" s="2"/>
      <c r="H54" s="6"/>
      <c r="I54" s="8"/>
      <c r="J54" s="3"/>
      <c r="K54" s="4"/>
      <c r="L54" s="3"/>
      <c r="M54" s="3"/>
    </row>
    <row r="55" spans="4:13" ht="15" x14ac:dyDescent="0.35">
      <c r="D55" s="5"/>
      <c r="E55" s="5"/>
      <c r="F55" s="5"/>
      <c r="G55" s="2"/>
      <c r="H55" s="6"/>
      <c r="I55" s="8"/>
      <c r="J55" s="4"/>
      <c r="K55" s="4"/>
      <c r="L55" s="3"/>
      <c r="M55" s="3"/>
    </row>
    <row r="56" spans="4:13" ht="15" x14ac:dyDescent="0.35">
      <c r="D56" s="5"/>
      <c r="E56" s="5"/>
      <c r="F56" s="5"/>
      <c r="G56" s="2"/>
      <c r="H56" s="6"/>
      <c r="I56" s="8"/>
      <c r="J56" s="4"/>
      <c r="K56" s="3"/>
      <c r="L56" s="3"/>
      <c r="M56" s="3"/>
    </row>
    <row r="57" spans="4:13" ht="15" x14ac:dyDescent="0.35">
      <c r="D57" s="5"/>
      <c r="E57" s="5"/>
      <c r="F57" s="5"/>
      <c r="G57" s="2"/>
      <c r="H57" s="6"/>
      <c r="I57" s="8"/>
      <c r="J57" s="4"/>
      <c r="K57" s="3"/>
      <c r="L57" s="3"/>
      <c r="M57" s="3"/>
    </row>
    <row r="58" spans="4:13" ht="15" x14ac:dyDescent="0.35">
      <c r="D58" s="5"/>
      <c r="E58" s="5"/>
      <c r="F58" s="5"/>
      <c r="G58" s="2"/>
      <c r="H58" s="6"/>
      <c r="I58" s="8"/>
      <c r="J58" s="4"/>
      <c r="K58" s="4"/>
      <c r="L58" s="3"/>
      <c r="M58" s="3"/>
    </row>
    <row r="59" spans="4:13" ht="15" x14ac:dyDescent="0.35">
      <c r="D59" s="5"/>
      <c r="E59" s="5"/>
      <c r="F59" s="5"/>
      <c r="G59" s="2"/>
      <c r="H59" s="6"/>
      <c r="I59" s="8"/>
      <c r="J59" s="4"/>
      <c r="K59" s="4"/>
      <c r="L59" s="3"/>
      <c r="M59" s="3"/>
    </row>
    <row r="60" spans="4:13" ht="15" x14ac:dyDescent="0.35">
      <c r="D60" s="5"/>
      <c r="E60" s="5"/>
      <c r="F60" s="5"/>
      <c r="G60" s="2"/>
      <c r="H60" s="6"/>
      <c r="I60" s="8"/>
      <c r="J60" s="4"/>
      <c r="K60" s="4"/>
      <c r="L60" s="3"/>
      <c r="M60" s="3"/>
    </row>
  </sheetData>
  <phoneticPr fontId="1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60F4-95FF-4969-8359-AC734C858F59}">
  <dimension ref="A1:AE28"/>
  <sheetViews>
    <sheetView workbookViewId="0">
      <selection activeCell="I33" sqref="I33"/>
    </sheetView>
  </sheetViews>
  <sheetFormatPr defaultRowHeight="14" x14ac:dyDescent="0.25"/>
  <sheetData>
    <row r="1" spans="1:31" s="3" customForma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17</v>
      </c>
      <c r="M1" s="3" t="s">
        <v>18</v>
      </c>
      <c r="N1" s="3" t="s">
        <v>10</v>
      </c>
      <c r="O1" s="3" t="s">
        <v>22</v>
      </c>
      <c r="P1" s="3" t="s">
        <v>11</v>
      </c>
      <c r="Q1" s="3" t="s">
        <v>23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24</v>
      </c>
      <c r="X1" s="3" t="s">
        <v>19</v>
      </c>
      <c r="Y1" s="3" t="s">
        <v>20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5">
      <c r="A2" s="3" t="s">
        <v>21</v>
      </c>
      <c r="B2" s="3">
        <v>2</v>
      </c>
      <c r="C2" s="3">
        <v>100</v>
      </c>
      <c r="D2" s="3">
        <v>80</v>
      </c>
      <c r="E2" s="3">
        <v>0.3</v>
      </c>
      <c r="F2" s="3">
        <v>24</v>
      </c>
      <c r="G2" s="3">
        <v>19239</v>
      </c>
      <c r="H2" s="3">
        <v>19239</v>
      </c>
      <c r="I2" s="3">
        <v>19239</v>
      </c>
      <c r="J2" s="3">
        <v>19239</v>
      </c>
      <c r="K2" s="3">
        <v>19239</v>
      </c>
      <c r="L2" s="3">
        <v>19239</v>
      </c>
      <c r="M2" s="3">
        <v>19239</v>
      </c>
      <c r="N2" s="3">
        <v>8</v>
      </c>
      <c r="O2" s="3">
        <v>13</v>
      </c>
      <c r="P2" s="3">
        <v>8</v>
      </c>
      <c r="Q2" s="3">
        <v>5</v>
      </c>
      <c r="R2" s="3">
        <v>0.22318315505981401</v>
      </c>
      <c r="S2" s="3">
        <v>0.22318315505981401</v>
      </c>
      <c r="T2" s="3">
        <v>0.17824435234069799</v>
      </c>
      <c r="U2" s="3">
        <v>0.38633012771606401</v>
      </c>
      <c r="V2" s="3">
        <v>1</v>
      </c>
      <c r="W2" s="3">
        <v>1</v>
      </c>
      <c r="X2" s="3">
        <v>2</v>
      </c>
      <c r="Y2" s="3">
        <v>2</v>
      </c>
      <c r="Z2" s="3">
        <v>19239</v>
      </c>
      <c r="AA2" s="3">
        <v>19239</v>
      </c>
      <c r="AB2" s="3">
        <v>3.6913871765136698E-2</v>
      </c>
      <c r="AC2" s="3">
        <v>8.8136672973632799E-2</v>
      </c>
      <c r="AD2" s="3">
        <v>2</v>
      </c>
      <c r="AE2" s="3">
        <v>1</v>
      </c>
    </row>
    <row r="3" spans="1:31" x14ac:dyDescent="0.25">
      <c r="A3" s="3" t="s">
        <v>21</v>
      </c>
      <c r="B3" s="3">
        <v>2</v>
      </c>
      <c r="C3" s="3">
        <v>100</v>
      </c>
      <c r="D3" s="3">
        <v>70</v>
      </c>
      <c r="E3" s="3">
        <v>0.5</v>
      </c>
      <c r="F3" s="3">
        <v>35</v>
      </c>
      <c r="G3" s="3">
        <v>22219</v>
      </c>
      <c r="H3" s="3">
        <v>22274</v>
      </c>
      <c r="I3" s="3">
        <v>21556</v>
      </c>
      <c r="J3" s="3">
        <v>22274</v>
      </c>
      <c r="K3" s="3">
        <v>22274</v>
      </c>
      <c r="L3" s="3">
        <v>22273.999999999902</v>
      </c>
      <c r="M3" s="3">
        <v>22275</v>
      </c>
      <c r="N3" s="3">
        <v>11</v>
      </c>
      <c r="O3" s="3">
        <v>25</v>
      </c>
      <c r="P3" s="3">
        <v>12</v>
      </c>
      <c r="Q3" s="3">
        <v>13</v>
      </c>
      <c r="R3" s="3">
        <v>0.91111326217651301</v>
      </c>
      <c r="S3" s="3">
        <v>1.68638610839843</v>
      </c>
      <c r="T3" s="3">
        <v>0.21960258483886699</v>
      </c>
      <c r="U3" s="3">
        <v>2.1917297840118399</v>
      </c>
      <c r="V3" s="3">
        <v>6</v>
      </c>
      <c r="W3" s="3">
        <v>7</v>
      </c>
      <c r="X3" s="3">
        <v>2</v>
      </c>
      <c r="Y3" s="3">
        <v>2</v>
      </c>
      <c r="Z3" s="3">
        <v>21556</v>
      </c>
      <c r="AA3" s="3">
        <v>22274</v>
      </c>
      <c r="AB3" s="3">
        <v>0.12519192695617601</v>
      </c>
      <c r="AC3" s="3">
        <v>2.3109867572784402</v>
      </c>
      <c r="AD3" s="3">
        <v>2</v>
      </c>
      <c r="AE3" s="3">
        <v>1</v>
      </c>
    </row>
    <row r="4" spans="1:31" x14ac:dyDescent="0.25">
      <c r="A4" s="3" t="s">
        <v>21</v>
      </c>
      <c r="B4" s="3">
        <v>2</v>
      </c>
      <c r="C4" s="3">
        <v>100</v>
      </c>
      <c r="D4" s="3">
        <v>50</v>
      </c>
      <c r="E4" s="3">
        <v>0.8</v>
      </c>
      <c r="F4" s="3">
        <v>40</v>
      </c>
      <c r="G4" s="3">
        <v>23339</v>
      </c>
      <c r="H4" s="3">
        <v>23339</v>
      </c>
      <c r="I4" s="3">
        <v>22569</v>
      </c>
      <c r="J4" s="3">
        <v>23339</v>
      </c>
      <c r="K4" s="3">
        <v>24882</v>
      </c>
      <c r="L4" s="3">
        <v>23339</v>
      </c>
      <c r="M4" s="3">
        <v>23339.000000000899</v>
      </c>
      <c r="N4" s="3">
        <v>12</v>
      </c>
      <c r="O4" s="3">
        <v>26</v>
      </c>
      <c r="P4" s="3">
        <v>13</v>
      </c>
      <c r="Q4" s="3">
        <v>13</v>
      </c>
      <c r="R4" s="3">
        <v>1.6700086593627901</v>
      </c>
      <c r="S4" s="3">
        <v>1.6772980690002399</v>
      </c>
      <c r="T4" s="3">
        <v>0.30878472328186002</v>
      </c>
      <c r="U4" s="3">
        <v>2.0392105579376198</v>
      </c>
      <c r="V4" s="3">
        <v>1</v>
      </c>
      <c r="W4" s="3">
        <v>6</v>
      </c>
      <c r="X4" s="3">
        <v>2</v>
      </c>
      <c r="Y4" s="3">
        <v>2</v>
      </c>
      <c r="Z4" s="3">
        <v>22569</v>
      </c>
      <c r="AA4" s="3">
        <v>22569</v>
      </c>
      <c r="AB4" s="3">
        <v>8.6431741714477497E-2</v>
      </c>
      <c r="AC4" s="3">
        <v>0.43130540847778298</v>
      </c>
      <c r="AD4" s="3">
        <v>2</v>
      </c>
      <c r="AE4" s="3">
        <v>2</v>
      </c>
    </row>
    <row r="5" spans="1:31" x14ac:dyDescent="0.25">
      <c r="A5" s="3" t="s">
        <v>21</v>
      </c>
      <c r="B5" s="3">
        <v>3</v>
      </c>
      <c r="C5" s="3">
        <v>150</v>
      </c>
      <c r="D5" s="3">
        <v>110</v>
      </c>
      <c r="E5" s="3">
        <v>0.3</v>
      </c>
      <c r="F5" s="3">
        <v>33</v>
      </c>
      <c r="G5" s="3">
        <v>27642</v>
      </c>
      <c r="H5" s="3">
        <v>27642</v>
      </c>
      <c r="I5" s="3">
        <v>22039</v>
      </c>
      <c r="J5" s="3">
        <v>27642</v>
      </c>
      <c r="K5" s="3">
        <v>27642</v>
      </c>
      <c r="L5" s="3">
        <v>27642</v>
      </c>
      <c r="M5" s="3">
        <v>27641.9999999998</v>
      </c>
      <c r="N5" s="3">
        <v>9</v>
      </c>
      <c r="O5" s="3">
        <v>19</v>
      </c>
      <c r="P5" s="3">
        <v>9</v>
      </c>
      <c r="Q5" s="3">
        <v>10</v>
      </c>
      <c r="R5" s="3">
        <v>2.35087895393371</v>
      </c>
      <c r="S5" s="3">
        <v>2.3517694473266602</v>
      </c>
      <c r="T5" s="3">
        <v>0.55490064620971602</v>
      </c>
      <c r="U5" s="3">
        <v>3.4452149868011399</v>
      </c>
      <c r="V5" s="3">
        <v>1</v>
      </c>
      <c r="W5" s="3">
        <v>6</v>
      </c>
      <c r="X5" s="3">
        <v>2</v>
      </c>
      <c r="Y5" s="3">
        <v>2</v>
      </c>
      <c r="Z5" s="3">
        <v>22039</v>
      </c>
      <c r="AA5" s="3">
        <v>27642</v>
      </c>
      <c r="AB5" s="3">
        <v>0.17222785949707001</v>
      </c>
      <c r="AC5" s="3">
        <v>2.3871099948882999</v>
      </c>
      <c r="AD5" s="3">
        <v>2</v>
      </c>
      <c r="AE5" s="3">
        <v>1</v>
      </c>
    </row>
    <row r="6" spans="1:31" x14ac:dyDescent="0.25">
      <c r="A6" s="3" t="s">
        <v>21</v>
      </c>
      <c r="B6" s="3">
        <v>3</v>
      </c>
      <c r="C6" s="3">
        <v>150</v>
      </c>
      <c r="D6" s="3">
        <v>90</v>
      </c>
      <c r="E6" s="3">
        <v>0.5</v>
      </c>
      <c r="F6" s="3">
        <v>45</v>
      </c>
      <c r="G6" s="3">
        <v>42030</v>
      </c>
      <c r="H6" s="3">
        <v>42107</v>
      </c>
      <c r="I6" s="3">
        <v>38789</v>
      </c>
      <c r="J6" s="3">
        <v>42107</v>
      </c>
      <c r="K6" s="3">
        <v>42107</v>
      </c>
      <c r="L6" s="3">
        <v>42107</v>
      </c>
      <c r="M6" s="3">
        <v>42109</v>
      </c>
      <c r="N6" s="3">
        <v>15</v>
      </c>
      <c r="O6" s="3">
        <v>27</v>
      </c>
      <c r="P6" s="3">
        <v>15</v>
      </c>
      <c r="Q6" s="3">
        <v>12</v>
      </c>
      <c r="R6" s="3">
        <v>8.2000842094421298</v>
      </c>
      <c r="S6" s="3">
        <v>11.087249994277901</v>
      </c>
      <c r="T6" s="3">
        <v>0.52844381332397405</v>
      </c>
      <c r="U6" s="3">
        <v>12.076400279998699</v>
      </c>
      <c r="V6" s="3">
        <v>5</v>
      </c>
      <c r="W6" s="3">
        <v>4</v>
      </c>
      <c r="X6" s="3">
        <v>2</v>
      </c>
      <c r="Y6" s="3">
        <v>2</v>
      </c>
      <c r="Z6" s="3">
        <v>38789</v>
      </c>
      <c r="AA6" s="3">
        <v>42107</v>
      </c>
      <c r="AB6" s="3">
        <v>0.165852546691894</v>
      </c>
      <c r="AC6" s="3">
        <v>6.8651559352874703</v>
      </c>
      <c r="AD6" s="3">
        <v>2</v>
      </c>
      <c r="AE6" s="3">
        <v>1</v>
      </c>
    </row>
    <row r="7" spans="1:31" x14ac:dyDescent="0.25">
      <c r="A7" s="3" t="s">
        <v>21</v>
      </c>
      <c r="B7" s="3">
        <v>3</v>
      </c>
      <c r="C7" s="3">
        <v>150</v>
      </c>
      <c r="D7" s="3">
        <v>110</v>
      </c>
      <c r="E7" s="3">
        <v>0.8</v>
      </c>
      <c r="F7" s="3">
        <v>88</v>
      </c>
      <c r="G7" s="3">
        <v>53134</v>
      </c>
      <c r="H7" s="3">
        <v>53134</v>
      </c>
      <c r="I7" s="3">
        <v>53134</v>
      </c>
      <c r="J7" s="3">
        <v>53134</v>
      </c>
      <c r="K7" s="3">
        <v>53134</v>
      </c>
      <c r="L7" s="3">
        <v>53134</v>
      </c>
      <c r="M7" s="3">
        <v>53134</v>
      </c>
      <c r="N7" s="3">
        <v>12</v>
      </c>
      <c r="O7" s="3">
        <v>19</v>
      </c>
      <c r="P7" s="3">
        <v>12</v>
      </c>
      <c r="Q7" s="3">
        <v>7</v>
      </c>
      <c r="R7" s="3">
        <v>0.63907790184020996</v>
      </c>
      <c r="S7" s="3">
        <v>0.64007806777954102</v>
      </c>
      <c r="T7" s="3">
        <v>0.49540042877197199</v>
      </c>
      <c r="U7" s="3">
        <v>1.0240128040313701</v>
      </c>
      <c r="V7" s="3">
        <v>1</v>
      </c>
      <c r="W7" s="3">
        <v>1</v>
      </c>
      <c r="X7" s="3">
        <v>2</v>
      </c>
      <c r="Y7" s="3">
        <v>2</v>
      </c>
      <c r="Z7" s="3">
        <v>53134</v>
      </c>
      <c r="AA7" s="3">
        <v>53134</v>
      </c>
      <c r="AB7" s="3">
        <v>0.123930215835571</v>
      </c>
      <c r="AC7" s="3">
        <v>0.244081020355224</v>
      </c>
      <c r="AD7" s="3">
        <v>2</v>
      </c>
      <c r="AE7" s="3">
        <v>1</v>
      </c>
    </row>
    <row r="8" spans="1:31" x14ac:dyDescent="0.25">
      <c r="A8" s="3" t="s">
        <v>21</v>
      </c>
      <c r="B8" s="3">
        <v>5</v>
      </c>
      <c r="C8" s="3">
        <v>250</v>
      </c>
      <c r="D8" s="3">
        <v>190</v>
      </c>
      <c r="E8" s="3">
        <v>0.3</v>
      </c>
      <c r="F8" s="3">
        <v>57</v>
      </c>
      <c r="G8" s="3">
        <v>90366</v>
      </c>
      <c r="H8" s="3">
        <v>90366</v>
      </c>
      <c r="I8" s="3">
        <v>83512</v>
      </c>
      <c r="J8" s="3">
        <v>90364</v>
      </c>
      <c r="K8" s="3">
        <v>90366</v>
      </c>
      <c r="L8" s="3">
        <v>90366.000000000393</v>
      </c>
      <c r="M8" s="3">
        <v>90370</v>
      </c>
      <c r="N8" s="3">
        <v>17</v>
      </c>
      <c r="O8" s="3">
        <v>38</v>
      </c>
      <c r="P8" s="3">
        <v>18</v>
      </c>
      <c r="Q8" s="3">
        <v>20</v>
      </c>
      <c r="R8" s="3">
        <v>12.9221642017364</v>
      </c>
      <c r="S8" s="3">
        <v>13.0517246723175</v>
      </c>
      <c r="T8" s="3">
        <v>1.3301582336425699</v>
      </c>
      <c r="U8" s="3">
        <v>15.029822349548301</v>
      </c>
      <c r="V8" s="3">
        <v>1</v>
      </c>
      <c r="W8" s="3">
        <v>8</v>
      </c>
      <c r="X8" s="3">
        <v>2</v>
      </c>
      <c r="Y8" s="3">
        <v>2</v>
      </c>
      <c r="Z8" s="3">
        <v>83512</v>
      </c>
      <c r="AA8" s="3">
        <v>90366</v>
      </c>
      <c r="AB8" s="3">
        <v>0.36515164375305098</v>
      </c>
      <c r="AC8" s="3">
        <v>13.7991976737976</v>
      </c>
      <c r="AD8" s="3">
        <v>2</v>
      </c>
      <c r="AE8" s="3">
        <v>1</v>
      </c>
    </row>
    <row r="9" spans="1:31" x14ac:dyDescent="0.25">
      <c r="A9" s="3" t="s">
        <v>21</v>
      </c>
      <c r="B9" s="3">
        <v>5</v>
      </c>
      <c r="C9" s="3">
        <v>250</v>
      </c>
      <c r="D9" s="3">
        <v>140</v>
      </c>
      <c r="E9" s="3">
        <v>0.5</v>
      </c>
      <c r="F9" s="3">
        <v>70</v>
      </c>
      <c r="G9" s="3">
        <v>100151</v>
      </c>
      <c r="H9" s="3">
        <v>100151</v>
      </c>
      <c r="I9" s="3">
        <v>84959</v>
      </c>
      <c r="J9" s="3">
        <v>100601</v>
      </c>
      <c r="K9" s="3">
        <v>100601</v>
      </c>
      <c r="L9" s="3">
        <v>101291</v>
      </c>
      <c r="M9" s="3">
        <v>101187</v>
      </c>
      <c r="N9" s="3">
        <v>94</v>
      </c>
      <c r="O9" s="3">
        <v>45</v>
      </c>
      <c r="P9" s="3">
        <v>24</v>
      </c>
      <c r="Q9" s="3">
        <v>21</v>
      </c>
      <c r="R9" s="3">
        <v>1474.53750586509</v>
      </c>
      <c r="S9" s="3">
        <v>1800.5351500511099</v>
      </c>
      <c r="T9" s="3">
        <v>1.88103151321411</v>
      </c>
      <c r="U9" s="3">
        <v>1800.3015170097301</v>
      </c>
      <c r="V9" s="3">
        <v>1</v>
      </c>
      <c r="W9" s="3">
        <v>4</v>
      </c>
      <c r="X9" s="3">
        <v>9</v>
      </c>
      <c r="Y9" s="3">
        <v>9</v>
      </c>
      <c r="Z9" s="3">
        <v>84959</v>
      </c>
      <c r="AA9" s="3">
        <v>100601</v>
      </c>
      <c r="AB9" s="3">
        <v>0.50415468215942305</v>
      </c>
      <c r="AC9" s="3">
        <v>301.04412984848</v>
      </c>
      <c r="AD9" s="3">
        <v>2</v>
      </c>
      <c r="AE9" s="3">
        <v>1</v>
      </c>
    </row>
    <row r="10" spans="1:31" x14ac:dyDescent="0.25">
      <c r="A10" s="3" t="s">
        <v>21</v>
      </c>
      <c r="B10" s="3">
        <v>5</v>
      </c>
      <c r="C10" s="3">
        <v>250</v>
      </c>
      <c r="D10" s="3">
        <v>160</v>
      </c>
      <c r="E10" s="3">
        <v>0.8</v>
      </c>
      <c r="F10" s="3">
        <v>128</v>
      </c>
      <c r="G10" s="3">
        <v>156451</v>
      </c>
      <c r="H10" s="3">
        <v>156730</v>
      </c>
      <c r="I10" s="3">
        <v>146898</v>
      </c>
      <c r="J10" s="3">
        <v>156740</v>
      </c>
      <c r="K10" s="3">
        <v>156707</v>
      </c>
      <c r="L10" s="3">
        <v>157853</v>
      </c>
      <c r="M10" s="3">
        <v>157355</v>
      </c>
      <c r="N10" s="3">
        <v>182</v>
      </c>
      <c r="O10" s="3">
        <v>58</v>
      </c>
      <c r="P10" s="3">
        <v>25</v>
      </c>
      <c r="Q10" s="3">
        <v>33</v>
      </c>
      <c r="R10" s="3">
        <v>1134.4187850952101</v>
      </c>
      <c r="S10" s="3">
        <v>1800.91003036499</v>
      </c>
      <c r="T10" s="3">
        <v>1.50700306892395</v>
      </c>
      <c r="U10" s="3">
        <v>1800.26128268241</v>
      </c>
      <c r="V10" s="3">
        <v>10</v>
      </c>
      <c r="W10" s="3">
        <v>25</v>
      </c>
      <c r="X10" s="3">
        <v>9</v>
      </c>
      <c r="Y10" s="3">
        <v>9</v>
      </c>
      <c r="Z10" s="3">
        <v>146898</v>
      </c>
      <c r="AA10" s="3">
        <v>156663</v>
      </c>
      <c r="AB10" s="3">
        <v>0.50322318077087402</v>
      </c>
      <c r="AC10" s="3">
        <v>301.14838647842402</v>
      </c>
      <c r="AD10" s="3">
        <v>2</v>
      </c>
      <c r="AE10" s="3">
        <v>1</v>
      </c>
    </row>
    <row r="11" spans="1:31" x14ac:dyDescent="0.25">
      <c r="A11" s="3" t="s">
        <v>21</v>
      </c>
      <c r="B11" s="3">
        <v>8</v>
      </c>
      <c r="C11" s="3">
        <v>400</v>
      </c>
      <c r="D11" s="3">
        <v>190</v>
      </c>
      <c r="E11" s="3">
        <v>0.3</v>
      </c>
      <c r="F11" s="3">
        <v>57</v>
      </c>
      <c r="G11" s="3">
        <v>133620</v>
      </c>
      <c r="H11" s="3">
        <v>134145</v>
      </c>
      <c r="I11" s="3">
        <v>130108</v>
      </c>
      <c r="J11" s="3">
        <v>134145</v>
      </c>
      <c r="K11" s="3">
        <v>149948</v>
      </c>
      <c r="L11" s="3">
        <v>134158</v>
      </c>
      <c r="M11" s="3">
        <v>134158</v>
      </c>
      <c r="N11" s="3">
        <v>41</v>
      </c>
      <c r="O11" s="3">
        <v>68</v>
      </c>
      <c r="P11" s="3">
        <v>41</v>
      </c>
      <c r="Q11" s="3">
        <v>27</v>
      </c>
      <c r="R11" s="3">
        <v>40.414740562438901</v>
      </c>
      <c r="S11" s="3">
        <v>74.536025285720797</v>
      </c>
      <c r="T11" s="3">
        <v>6.0351936817169101</v>
      </c>
      <c r="U11" s="3">
        <v>113.10732889175399</v>
      </c>
      <c r="V11" s="3">
        <v>3</v>
      </c>
      <c r="W11" s="3">
        <v>5</v>
      </c>
      <c r="X11" s="3">
        <v>2</v>
      </c>
      <c r="Y11" s="3">
        <v>2</v>
      </c>
      <c r="Z11" s="3">
        <v>130108</v>
      </c>
      <c r="AA11" s="3">
        <v>130108</v>
      </c>
      <c r="AB11" s="3">
        <v>1.63277387619018</v>
      </c>
      <c r="AC11" s="3">
        <v>5.2882554531097403</v>
      </c>
      <c r="AD11" s="3">
        <v>2</v>
      </c>
      <c r="AE11" s="3">
        <v>3</v>
      </c>
    </row>
    <row r="12" spans="1:31" x14ac:dyDescent="0.25">
      <c r="A12" s="3" t="s">
        <v>21</v>
      </c>
      <c r="B12" s="3">
        <v>8</v>
      </c>
      <c r="C12" s="3">
        <v>400</v>
      </c>
      <c r="D12" s="3">
        <v>250</v>
      </c>
      <c r="E12" s="3">
        <v>0.5</v>
      </c>
      <c r="F12" s="3">
        <v>125</v>
      </c>
      <c r="G12" s="3"/>
      <c r="H12" s="3">
        <v>0</v>
      </c>
      <c r="I12" s="3">
        <v>169127</v>
      </c>
      <c r="J12" s="3">
        <v>252225</v>
      </c>
      <c r="K12" s="3">
        <v>252222</v>
      </c>
      <c r="L12" s="3">
        <v>260122.78578899801</v>
      </c>
      <c r="M12" s="3">
        <v>260168</v>
      </c>
      <c r="N12" s="3">
        <v>28</v>
      </c>
      <c r="O12" s="3">
        <v>51</v>
      </c>
      <c r="P12" s="3">
        <v>28</v>
      </c>
      <c r="Q12" s="3">
        <v>23</v>
      </c>
      <c r="R12" s="3"/>
      <c r="S12" s="3">
        <v>1800.7899315357199</v>
      </c>
      <c r="T12" s="3">
        <v>4.9261410236358598</v>
      </c>
      <c r="U12" s="3">
        <v>1800.2029259204801</v>
      </c>
      <c r="V12" s="3">
        <v>0</v>
      </c>
      <c r="W12" s="3">
        <v>3</v>
      </c>
      <c r="X12" s="3">
        <v>9</v>
      </c>
      <c r="Y12" s="3">
        <v>9</v>
      </c>
      <c r="Z12" s="3">
        <v>169127</v>
      </c>
      <c r="AA12" s="3">
        <v>252222</v>
      </c>
      <c r="AB12" s="3">
        <v>1.56122493743896</v>
      </c>
      <c r="AC12" s="3">
        <v>302.75667905807398</v>
      </c>
      <c r="AD12" s="3">
        <v>2</v>
      </c>
      <c r="AE12" s="3">
        <v>1</v>
      </c>
    </row>
    <row r="13" spans="1:31" x14ac:dyDescent="0.25">
      <c r="A13" s="3" t="s">
        <v>21</v>
      </c>
      <c r="B13" s="3">
        <v>8</v>
      </c>
      <c r="C13" s="3">
        <v>400</v>
      </c>
      <c r="D13" s="3">
        <v>230</v>
      </c>
      <c r="E13" s="3">
        <v>0.8</v>
      </c>
      <c r="F13" s="3">
        <v>184</v>
      </c>
      <c r="G13" s="3"/>
      <c r="H13" s="3">
        <v>0</v>
      </c>
      <c r="I13" s="3">
        <v>269910</v>
      </c>
      <c r="J13" s="3">
        <v>349202</v>
      </c>
      <c r="K13" s="3">
        <v>381282</v>
      </c>
      <c r="L13" s="3">
        <v>379614</v>
      </c>
      <c r="M13" s="3">
        <v>353362</v>
      </c>
      <c r="N13" s="3">
        <v>28</v>
      </c>
      <c r="O13" s="3">
        <v>83</v>
      </c>
      <c r="P13" s="3">
        <v>39</v>
      </c>
      <c r="Q13" s="3">
        <v>44</v>
      </c>
      <c r="R13" s="3"/>
      <c r="S13" s="3">
        <v>1800.2963211536401</v>
      </c>
      <c r="T13" s="3">
        <v>4.9887573719024596</v>
      </c>
      <c r="U13" s="3">
        <v>1800.6335432529399</v>
      </c>
      <c r="V13" s="3">
        <v>0</v>
      </c>
      <c r="W13" s="3">
        <v>10</v>
      </c>
      <c r="X13" s="3">
        <v>9</v>
      </c>
      <c r="Y13" s="3">
        <v>9</v>
      </c>
      <c r="Z13" s="3">
        <v>269910</v>
      </c>
      <c r="AA13" s="3">
        <v>341385</v>
      </c>
      <c r="AB13" s="3">
        <v>1.39993047714233</v>
      </c>
      <c r="AC13" s="3">
        <v>232.62599396705599</v>
      </c>
      <c r="AD13" s="3">
        <v>2</v>
      </c>
      <c r="AE13" s="3">
        <v>3</v>
      </c>
    </row>
    <row r="14" spans="1:31" x14ac:dyDescent="0.25">
      <c r="A14" s="3" t="s">
        <v>21</v>
      </c>
      <c r="B14" s="3">
        <v>10</v>
      </c>
      <c r="C14" s="3">
        <v>500</v>
      </c>
      <c r="D14" s="3">
        <v>300</v>
      </c>
      <c r="E14" s="3">
        <v>0.3</v>
      </c>
      <c r="F14" s="3">
        <v>90</v>
      </c>
      <c r="G14" s="3">
        <v>317205</v>
      </c>
      <c r="H14" s="3">
        <v>317231</v>
      </c>
      <c r="I14" s="3">
        <v>308122</v>
      </c>
      <c r="J14" s="3">
        <v>317231</v>
      </c>
      <c r="K14" s="3">
        <v>317231</v>
      </c>
      <c r="L14" s="3">
        <v>317261</v>
      </c>
      <c r="M14" s="3">
        <v>317255.80592450203</v>
      </c>
      <c r="N14" s="3">
        <v>54</v>
      </c>
      <c r="O14" s="3">
        <v>82</v>
      </c>
      <c r="P14" s="3">
        <v>47</v>
      </c>
      <c r="Q14" s="3">
        <v>35</v>
      </c>
      <c r="R14" s="3">
        <v>535.76801204681396</v>
      </c>
      <c r="S14" s="3">
        <v>1359.8560862541201</v>
      </c>
      <c r="T14" s="3">
        <v>7.8986279964447004</v>
      </c>
      <c r="U14" s="3">
        <v>971.15197920799199</v>
      </c>
      <c r="V14" s="3">
        <v>2</v>
      </c>
      <c r="W14" s="3">
        <v>5</v>
      </c>
      <c r="X14" s="3">
        <v>2</v>
      </c>
      <c r="Y14" s="3">
        <v>2</v>
      </c>
      <c r="Z14" s="3">
        <v>308122</v>
      </c>
      <c r="AA14" s="3">
        <v>317231</v>
      </c>
      <c r="AB14" s="3">
        <v>2.6042881011962802</v>
      </c>
      <c r="AC14" s="3">
        <v>304.540309667587</v>
      </c>
      <c r="AD14" s="3">
        <v>2</v>
      </c>
      <c r="AE14" s="3">
        <v>1</v>
      </c>
    </row>
    <row r="15" spans="1:31" x14ac:dyDescent="0.25">
      <c r="A15" s="3" t="s">
        <v>21</v>
      </c>
      <c r="B15" s="3">
        <v>10</v>
      </c>
      <c r="C15" s="3">
        <v>500</v>
      </c>
      <c r="D15" s="3">
        <v>400</v>
      </c>
      <c r="E15" s="3">
        <v>0.5</v>
      </c>
      <c r="F15" s="3">
        <v>200</v>
      </c>
      <c r="G15" s="3"/>
      <c r="H15" s="3">
        <v>0</v>
      </c>
      <c r="I15" s="3">
        <v>289774</v>
      </c>
      <c r="J15" s="3">
        <v>361711</v>
      </c>
      <c r="K15" s="3">
        <v>361651</v>
      </c>
      <c r="L15" s="3">
        <v>372502</v>
      </c>
      <c r="M15" s="3">
        <v>372383</v>
      </c>
      <c r="N15" s="3">
        <v>28</v>
      </c>
      <c r="O15" s="3">
        <v>105</v>
      </c>
      <c r="P15" s="3">
        <v>34</v>
      </c>
      <c r="Q15" s="3">
        <v>71</v>
      </c>
      <c r="R15" s="3"/>
      <c r="S15" s="3">
        <v>1801.48587942123</v>
      </c>
      <c r="T15" s="3">
        <v>5.2303826808929399</v>
      </c>
      <c r="U15" s="3">
        <v>1801.00852799415</v>
      </c>
      <c r="V15" s="3">
        <v>0</v>
      </c>
      <c r="W15" s="3">
        <v>24</v>
      </c>
      <c r="X15" s="3">
        <v>9</v>
      </c>
      <c r="Y15" s="3">
        <v>9</v>
      </c>
      <c r="Z15" s="3">
        <v>289774</v>
      </c>
      <c r="AA15" s="3">
        <v>361651</v>
      </c>
      <c r="AB15" s="3">
        <v>1.61579942703247</v>
      </c>
      <c r="AC15" s="3">
        <v>302.814349174499</v>
      </c>
      <c r="AD15" s="3">
        <v>2</v>
      </c>
      <c r="AE15" s="3">
        <v>1</v>
      </c>
    </row>
    <row r="16" spans="1:31" x14ac:dyDescent="0.25">
      <c r="A16" s="3" t="s">
        <v>21</v>
      </c>
      <c r="B16" s="3">
        <v>10</v>
      </c>
      <c r="C16" s="3">
        <v>500</v>
      </c>
      <c r="D16" s="3">
        <v>340</v>
      </c>
      <c r="E16" s="3">
        <v>0.8</v>
      </c>
      <c r="F16" s="3">
        <v>272</v>
      </c>
      <c r="G16" s="3"/>
      <c r="H16" s="3">
        <v>0</v>
      </c>
      <c r="I16" s="3">
        <v>412193</v>
      </c>
      <c r="J16" s="3">
        <v>538057</v>
      </c>
      <c r="K16" s="3">
        <v>539837</v>
      </c>
      <c r="L16" s="3">
        <v>558808</v>
      </c>
      <c r="M16" s="3">
        <v>549327</v>
      </c>
      <c r="N16" s="3">
        <v>31</v>
      </c>
      <c r="O16" s="3">
        <v>59</v>
      </c>
      <c r="P16" s="3">
        <v>31</v>
      </c>
      <c r="Q16" s="3">
        <v>28</v>
      </c>
      <c r="R16" s="3"/>
      <c r="S16" s="3">
        <v>1800.1895985603301</v>
      </c>
      <c r="T16" s="3">
        <v>7.5900235176086399</v>
      </c>
      <c r="U16" s="3">
        <v>1800.23696398735</v>
      </c>
      <c r="V16" s="3">
        <v>0</v>
      </c>
      <c r="W16" s="3">
        <v>3</v>
      </c>
      <c r="X16" s="3">
        <v>9</v>
      </c>
      <c r="Y16" s="3">
        <v>9</v>
      </c>
      <c r="Z16" s="3">
        <v>412193</v>
      </c>
      <c r="AA16" s="3">
        <v>539837</v>
      </c>
      <c r="AB16" s="3">
        <v>2.0132462978363002</v>
      </c>
      <c r="AC16" s="3">
        <v>303.80264091491699</v>
      </c>
      <c r="AD16" s="3">
        <v>2</v>
      </c>
      <c r="AE16" s="3">
        <v>1</v>
      </c>
    </row>
    <row r="17" spans="1:31" x14ac:dyDescent="0.25">
      <c r="A17" s="3" t="s">
        <v>21</v>
      </c>
      <c r="B17" s="3">
        <v>15</v>
      </c>
      <c r="C17" s="3">
        <v>750</v>
      </c>
      <c r="D17" s="3">
        <v>540</v>
      </c>
      <c r="E17" s="3">
        <v>0.3</v>
      </c>
      <c r="F17" s="3">
        <v>162</v>
      </c>
      <c r="G17" s="3"/>
      <c r="H17" s="3">
        <v>0</v>
      </c>
      <c r="I17" s="3">
        <v>630393</v>
      </c>
      <c r="J17" s="3">
        <v>725385</v>
      </c>
      <c r="K17" s="3">
        <v>725432</v>
      </c>
      <c r="L17" s="3">
        <v>743476.97245075298</v>
      </c>
      <c r="M17" s="3">
        <v>745869.59317794302</v>
      </c>
      <c r="N17" s="3">
        <v>51</v>
      </c>
      <c r="O17" s="3">
        <v>94</v>
      </c>
      <c r="P17" s="3">
        <v>51</v>
      </c>
      <c r="Q17" s="3">
        <v>43</v>
      </c>
      <c r="R17" s="3"/>
      <c r="S17" s="3">
        <v>1800.0710954666099</v>
      </c>
      <c r="T17" s="3">
        <v>16.323740959167399</v>
      </c>
      <c r="U17" s="3">
        <v>1800.04784965515</v>
      </c>
      <c r="V17" s="3">
        <v>0</v>
      </c>
      <c r="W17" s="3">
        <v>4</v>
      </c>
      <c r="X17" s="3">
        <v>9</v>
      </c>
      <c r="Y17" s="3">
        <v>9</v>
      </c>
      <c r="Z17" s="3">
        <v>630393</v>
      </c>
      <c r="AA17" s="3">
        <v>725432</v>
      </c>
      <c r="AB17" s="3">
        <v>4.7494256496429399</v>
      </c>
      <c r="AC17" s="3">
        <v>307.82332944869898</v>
      </c>
      <c r="AD17" s="3">
        <v>2</v>
      </c>
      <c r="AE17" s="3">
        <v>1</v>
      </c>
    </row>
    <row r="18" spans="1:31" x14ac:dyDescent="0.25">
      <c r="A18" s="3" t="s">
        <v>21</v>
      </c>
      <c r="B18" s="3">
        <v>15</v>
      </c>
      <c r="C18" s="3">
        <v>750</v>
      </c>
      <c r="D18" s="3">
        <v>350</v>
      </c>
      <c r="E18" s="3">
        <v>0.5</v>
      </c>
      <c r="F18" s="3">
        <v>175</v>
      </c>
      <c r="G18" s="3"/>
      <c r="H18" s="3">
        <v>0</v>
      </c>
      <c r="I18" s="3">
        <v>576885</v>
      </c>
      <c r="J18" s="3">
        <v>708441</v>
      </c>
      <c r="K18" s="3">
        <v>857549</v>
      </c>
      <c r="L18" s="3">
        <v>729597.29143291397</v>
      </c>
      <c r="M18" s="3">
        <v>730101.72728186205</v>
      </c>
      <c r="N18" s="3">
        <v>75</v>
      </c>
      <c r="O18" s="3">
        <v>143</v>
      </c>
      <c r="P18" s="3">
        <v>83</v>
      </c>
      <c r="Q18" s="3">
        <v>60</v>
      </c>
      <c r="R18" s="3"/>
      <c r="S18" s="3">
        <v>1800.0704853534601</v>
      </c>
      <c r="T18" s="3">
        <v>22.301704168319699</v>
      </c>
      <c r="U18" s="3">
        <v>1800.0608739852901</v>
      </c>
      <c r="V18" s="3">
        <v>0</v>
      </c>
      <c r="W18" s="3">
        <v>6</v>
      </c>
      <c r="X18" s="3">
        <v>9</v>
      </c>
      <c r="Y18" s="3">
        <v>9</v>
      </c>
      <c r="Z18" s="3">
        <v>576885</v>
      </c>
      <c r="AA18" s="3">
        <v>576885</v>
      </c>
      <c r="AB18" s="3">
        <v>6.0982820987701398</v>
      </c>
      <c r="AC18" s="3">
        <v>23.653634309768599</v>
      </c>
      <c r="AD18" s="3">
        <v>2</v>
      </c>
      <c r="AE18" s="3">
        <v>3</v>
      </c>
    </row>
    <row r="19" spans="1:31" x14ac:dyDescent="0.25">
      <c r="A19" s="3" t="s">
        <v>21</v>
      </c>
      <c r="B19" s="3">
        <v>15</v>
      </c>
      <c r="C19" s="3">
        <v>750</v>
      </c>
      <c r="D19" s="3">
        <v>470</v>
      </c>
      <c r="E19" s="3">
        <v>0.8</v>
      </c>
      <c r="F19" s="3">
        <v>376</v>
      </c>
      <c r="G19" s="3"/>
      <c r="H19" s="3">
        <v>0</v>
      </c>
      <c r="I19" s="3">
        <v>886276</v>
      </c>
      <c r="J19" s="3">
        <v>1216527</v>
      </c>
      <c r="K19" s="3">
        <v>1219736</v>
      </c>
      <c r="L19" s="3">
        <v>1328935.70859546</v>
      </c>
      <c r="M19" s="3">
        <v>1249192.7246449799</v>
      </c>
      <c r="N19" s="3">
        <v>49</v>
      </c>
      <c r="O19" s="3">
        <v>91</v>
      </c>
      <c r="P19" s="3">
        <v>49</v>
      </c>
      <c r="Q19" s="3">
        <v>42</v>
      </c>
      <c r="R19" s="3"/>
      <c r="S19" s="3">
        <v>1800.0750036239599</v>
      </c>
      <c r="T19" s="3">
        <v>17.999729394912698</v>
      </c>
      <c r="U19" s="3">
        <v>1800.0934209823599</v>
      </c>
      <c r="V19" s="3">
        <v>0</v>
      </c>
      <c r="W19" s="3">
        <v>2</v>
      </c>
      <c r="X19" s="3">
        <v>9</v>
      </c>
      <c r="Y19" s="3">
        <v>9</v>
      </c>
      <c r="Z19" s="3">
        <v>886276</v>
      </c>
      <c r="AA19" s="3">
        <v>1212213</v>
      </c>
      <c r="AB19" s="3">
        <v>5.7219345569610596</v>
      </c>
      <c r="AC19" s="3">
        <v>311.270617008209</v>
      </c>
      <c r="AD19" s="3">
        <v>2</v>
      </c>
      <c r="AE19" s="3">
        <v>3</v>
      </c>
    </row>
    <row r="20" spans="1:31" x14ac:dyDescent="0.25">
      <c r="A20" s="3" t="s">
        <v>21</v>
      </c>
      <c r="B20" s="3">
        <v>20</v>
      </c>
      <c r="C20" s="3">
        <v>1000</v>
      </c>
      <c r="D20" s="3">
        <v>520</v>
      </c>
      <c r="E20" s="3">
        <v>0.3</v>
      </c>
      <c r="F20" s="3">
        <v>156</v>
      </c>
      <c r="G20" s="3"/>
      <c r="H20" s="3">
        <v>0</v>
      </c>
      <c r="I20" s="3">
        <v>656072</v>
      </c>
      <c r="J20" s="3">
        <v>904540</v>
      </c>
      <c r="K20" s="3">
        <v>904538</v>
      </c>
      <c r="L20" s="3">
        <v>937680.82545352203</v>
      </c>
      <c r="M20" s="3">
        <v>922509.32225238602</v>
      </c>
      <c r="N20" s="3">
        <v>79</v>
      </c>
      <c r="O20" s="3">
        <v>138</v>
      </c>
      <c r="P20" s="3">
        <v>79</v>
      </c>
      <c r="Q20" s="3">
        <v>59</v>
      </c>
      <c r="R20" s="3"/>
      <c r="S20" s="3">
        <v>1800.2504377365101</v>
      </c>
      <c r="T20" s="3">
        <v>42.603196382522498</v>
      </c>
      <c r="U20" s="3">
        <v>1800.08297657966</v>
      </c>
      <c r="V20" s="3">
        <v>0</v>
      </c>
      <c r="W20" s="3">
        <v>3</v>
      </c>
      <c r="X20" s="3">
        <v>9</v>
      </c>
      <c r="Y20" s="3">
        <v>9</v>
      </c>
      <c r="Z20" s="3">
        <v>656072</v>
      </c>
      <c r="AA20" s="3">
        <v>904538</v>
      </c>
      <c r="AB20" s="3">
        <v>10.363933563232401</v>
      </c>
      <c r="AC20" s="3">
        <v>319.15165519714299</v>
      </c>
      <c r="AD20" s="3">
        <v>2</v>
      </c>
      <c r="AE20" s="3">
        <v>1</v>
      </c>
    </row>
    <row r="21" spans="1:31" x14ac:dyDescent="0.25">
      <c r="A21" s="3" t="s">
        <v>21</v>
      </c>
      <c r="B21" s="3">
        <v>20</v>
      </c>
      <c r="C21" s="3">
        <v>1000</v>
      </c>
      <c r="D21" s="3">
        <v>510</v>
      </c>
      <c r="E21" s="3">
        <v>0.5</v>
      </c>
      <c r="F21" s="3">
        <v>255</v>
      </c>
      <c r="G21" s="3"/>
      <c r="H21" s="3">
        <v>0</v>
      </c>
      <c r="I21" s="3">
        <v>1088972</v>
      </c>
      <c r="J21" s="3">
        <v>1282134</v>
      </c>
      <c r="K21" s="3">
        <v>1529138</v>
      </c>
      <c r="L21" s="3">
        <v>1469827.1637679201</v>
      </c>
      <c r="M21" s="3">
        <v>1472820.20901825</v>
      </c>
      <c r="N21" s="3">
        <v>88</v>
      </c>
      <c r="O21" s="3">
        <v>147</v>
      </c>
      <c r="P21" s="3">
        <v>88</v>
      </c>
      <c r="Q21" s="3">
        <v>59</v>
      </c>
      <c r="R21" s="3"/>
      <c r="S21" s="3">
        <v>1800.2857687473199</v>
      </c>
      <c r="T21" s="3">
        <v>38.200626611709602</v>
      </c>
      <c r="U21" s="3">
        <v>1800.0811855792999</v>
      </c>
      <c r="V21" s="3">
        <v>0</v>
      </c>
      <c r="W21" s="3">
        <v>3</v>
      </c>
      <c r="X21" s="3">
        <v>9</v>
      </c>
      <c r="Y21" s="3">
        <v>9</v>
      </c>
      <c r="Z21" s="3">
        <v>1088972</v>
      </c>
      <c r="AA21" s="3">
        <v>1398772</v>
      </c>
      <c r="AB21" s="3">
        <v>11.0834236145019</v>
      </c>
      <c r="AC21" s="3">
        <v>319.8287961483</v>
      </c>
      <c r="AD21" s="3">
        <v>2</v>
      </c>
      <c r="AE21" s="3">
        <v>1</v>
      </c>
    </row>
    <row r="22" spans="1:31" x14ac:dyDescent="0.25">
      <c r="A22" s="3" t="s">
        <v>21</v>
      </c>
      <c r="B22" s="3">
        <v>20</v>
      </c>
      <c r="C22" s="3">
        <v>1000</v>
      </c>
      <c r="D22" s="3">
        <v>530</v>
      </c>
      <c r="E22" s="3">
        <v>0.8</v>
      </c>
      <c r="F22" s="3">
        <v>424</v>
      </c>
      <c r="G22" s="3"/>
      <c r="H22" s="3">
        <v>0</v>
      </c>
      <c r="I22" s="3">
        <v>1317648</v>
      </c>
      <c r="J22" s="3">
        <v>2024377</v>
      </c>
      <c r="K22" s="3">
        <v>2415521</v>
      </c>
      <c r="L22" s="3">
        <v>2441111.29729026</v>
      </c>
      <c r="M22" s="3">
        <v>2207208.6167475199</v>
      </c>
      <c r="N22" s="3">
        <v>78</v>
      </c>
      <c r="O22" s="3">
        <v>136</v>
      </c>
      <c r="P22" s="3">
        <v>78</v>
      </c>
      <c r="Q22" s="3">
        <v>58</v>
      </c>
      <c r="R22" s="3"/>
      <c r="S22" s="3">
        <v>1800.3357381820599</v>
      </c>
      <c r="T22" s="3">
        <v>38.456406354904097</v>
      </c>
      <c r="U22" s="3">
        <v>1800.2435352802199</v>
      </c>
      <c r="V22" s="3">
        <v>0</v>
      </c>
      <c r="W22" s="3">
        <v>2</v>
      </c>
      <c r="X22" s="3">
        <v>9</v>
      </c>
      <c r="Y22" s="3">
        <v>9</v>
      </c>
      <c r="Z22" s="3">
        <v>1317648</v>
      </c>
      <c r="AA22" s="3">
        <v>1701439</v>
      </c>
      <c r="AB22" s="3">
        <v>13.0674605369567</v>
      </c>
      <c r="AC22" s="3">
        <v>323.905571699142</v>
      </c>
      <c r="AD22" s="3">
        <v>2</v>
      </c>
      <c r="AE22" s="3">
        <v>3</v>
      </c>
    </row>
    <row r="23" spans="1:31" x14ac:dyDescent="0.25">
      <c r="A23" s="3" t="s">
        <v>21</v>
      </c>
      <c r="B23" s="3">
        <v>25</v>
      </c>
      <c r="C23" s="3">
        <v>1250</v>
      </c>
      <c r="D23" s="3">
        <v>790</v>
      </c>
      <c r="E23" s="3">
        <v>0.3</v>
      </c>
      <c r="F23" s="3">
        <v>237</v>
      </c>
      <c r="G23" s="3"/>
      <c r="H23" s="3">
        <v>0</v>
      </c>
      <c r="I23" s="3">
        <v>1419530</v>
      </c>
      <c r="J23" s="3">
        <v>1764965</v>
      </c>
      <c r="K23" s="3">
        <v>1764963</v>
      </c>
      <c r="L23" s="3">
        <v>1823242.8181030401</v>
      </c>
      <c r="M23" s="3">
        <v>1819536.9787071601</v>
      </c>
      <c r="N23" s="3">
        <v>93</v>
      </c>
      <c r="O23" s="3">
        <v>166</v>
      </c>
      <c r="P23" s="3">
        <v>93</v>
      </c>
      <c r="Q23" s="3">
        <v>73</v>
      </c>
      <c r="R23" s="3"/>
      <c r="S23" s="3">
        <v>1800.3162908554</v>
      </c>
      <c r="T23" s="3">
        <v>61.5564863681793</v>
      </c>
      <c r="U23" s="3">
        <v>1800.1042587757099</v>
      </c>
      <c r="V23" s="3">
        <v>0</v>
      </c>
      <c r="W23" s="3">
        <v>4</v>
      </c>
      <c r="X23" s="3">
        <v>9</v>
      </c>
      <c r="Y23" s="3">
        <v>9</v>
      </c>
      <c r="Z23" s="3">
        <v>1419530</v>
      </c>
      <c r="AA23" s="3">
        <v>1764963</v>
      </c>
      <c r="AB23" s="3">
        <v>17.972014904022199</v>
      </c>
      <c r="AC23" s="3">
        <v>328.90554690361</v>
      </c>
      <c r="AD23" s="3">
        <v>2</v>
      </c>
      <c r="AE23" s="3">
        <v>1</v>
      </c>
    </row>
    <row r="24" spans="1:31" x14ac:dyDescent="0.25">
      <c r="A24" s="3" t="s">
        <v>21</v>
      </c>
      <c r="B24" s="3">
        <v>25</v>
      </c>
      <c r="C24" s="3">
        <v>1250</v>
      </c>
      <c r="D24" s="3">
        <v>750</v>
      </c>
      <c r="E24" s="3">
        <v>0.5</v>
      </c>
      <c r="F24" s="3">
        <v>375</v>
      </c>
      <c r="G24" s="3"/>
      <c r="H24" s="3">
        <v>0</v>
      </c>
      <c r="I24" s="3">
        <v>2140745</v>
      </c>
      <c r="J24" s="3">
        <v>2597402</v>
      </c>
      <c r="K24" s="3">
        <v>2597692</v>
      </c>
      <c r="L24" s="3">
        <v>2782735.6556171901</v>
      </c>
      <c r="M24" s="3">
        <v>2767904.4599773702</v>
      </c>
      <c r="N24" s="3">
        <v>100</v>
      </c>
      <c r="O24" s="3">
        <v>173</v>
      </c>
      <c r="P24" s="3">
        <v>100</v>
      </c>
      <c r="Q24" s="3">
        <v>73</v>
      </c>
      <c r="R24" s="3"/>
      <c r="S24" s="3">
        <v>1800.2905268669101</v>
      </c>
      <c r="T24" s="3">
        <v>61.1491568088531</v>
      </c>
      <c r="U24" s="3">
        <v>1800.14343452453</v>
      </c>
      <c r="V24" s="3">
        <v>0</v>
      </c>
      <c r="W24" s="3">
        <v>4</v>
      </c>
      <c r="X24" s="3">
        <v>9</v>
      </c>
      <c r="Y24" s="3">
        <v>9</v>
      </c>
      <c r="Z24" s="3">
        <v>2140745</v>
      </c>
      <c r="AA24" s="3">
        <v>2597541</v>
      </c>
      <c r="AB24" s="3">
        <v>18.967982292175201</v>
      </c>
      <c r="AC24" s="3">
        <v>334.68224930763199</v>
      </c>
      <c r="AD24" s="3">
        <v>2</v>
      </c>
      <c r="AE24" s="3">
        <v>2</v>
      </c>
    </row>
    <row r="25" spans="1:31" x14ac:dyDescent="0.25">
      <c r="A25" s="3" t="s">
        <v>21</v>
      </c>
      <c r="B25" s="3">
        <v>25</v>
      </c>
      <c r="C25" s="3">
        <v>1250</v>
      </c>
      <c r="D25" s="3">
        <v>730</v>
      </c>
      <c r="E25" s="3">
        <v>0.8</v>
      </c>
      <c r="F25" s="3">
        <v>584</v>
      </c>
      <c r="G25" s="3"/>
      <c r="H25" s="3">
        <v>0</v>
      </c>
      <c r="I25" s="3">
        <v>2246808</v>
      </c>
      <c r="J25" s="3">
        <v>3307380</v>
      </c>
      <c r="K25" s="3">
        <v>3312812</v>
      </c>
      <c r="L25" s="3">
        <v>3883857.8000000198</v>
      </c>
      <c r="M25" s="3">
        <v>3541108.7517360901</v>
      </c>
      <c r="N25" s="3">
        <v>86</v>
      </c>
      <c r="O25" s="3">
        <v>156</v>
      </c>
      <c r="P25" s="3">
        <v>86</v>
      </c>
      <c r="Q25" s="3">
        <v>70</v>
      </c>
      <c r="R25" s="3"/>
      <c r="S25" s="3">
        <v>1800.294911623</v>
      </c>
      <c r="T25" s="3">
        <v>51.104966402053797</v>
      </c>
      <c r="U25" s="3">
        <v>1800.32887244224</v>
      </c>
      <c r="V25" s="3">
        <v>0</v>
      </c>
      <c r="W25" s="3">
        <v>2</v>
      </c>
      <c r="X25" s="3">
        <v>9</v>
      </c>
      <c r="Y25" s="3">
        <v>9</v>
      </c>
      <c r="Z25" s="3">
        <v>2246808</v>
      </c>
      <c r="AA25" s="3">
        <v>3294040</v>
      </c>
      <c r="AB25" s="3">
        <v>18.8518753051757</v>
      </c>
      <c r="AC25" s="3">
        <v>336.38929820060702</v>
      </c>
      <c r="AD25" s="3">
        <v>2</v>
      </c>
      <c r="AE25" s="3">
        <v>3</v>
      </c>
    </row>
    <row r="26" spans="1:31" x14ac:dyDescent="0.25">
      <c r="A26" s="3" t="s">
        <v>21</v>
      </c>
      <c r="B26" s="3">
        <v>30</v>
      </c>
      <c r="C26" s="3">
        <v>1500</v>
      </c>
      <c r="D26" s="3">
        <v>990</v>
      </c>
      <c r="E26" s="3">
        <v>0.3</v>
      </c>
      <c r="F26" s="3">
        <v>297</v>
      </c>
      <c r="G26" s="3"/>
      <c r="H26" s="3">
        <v>0</v>
      </c>
      <c r="I26" s="3">
        <v>1780249</v>
      </c>
      <c r="J26" s="3">
        <v>2448143</v>
      </c>
      <c r="K26" s="3">
        <v>2448295</v>
      </c>
      <c r="L26" s="3">
        <v>2571963.47999661</v>
      </c>
      <c r="M26" s="3">
        <v>2556039.54872871</v>
      </c>
      <c r="N26" s="3">
        <v>98</v>
      </c>
      <c r="O26" s="3">
        <v>180</v>
      </c>
      <c r="P26" s="3">
        <v>98</v>
      </c>
      <c r="Q26" s="3">
        <v>82</v>
      </c>
      <c r="R26" s="3"/>
      <c r="S26" s="3">
        <v>1800.39541697502</v>
      </c>
      <c r="T26" s="3">
        <v>84.167877435684204</v>
      </c>
      <c r="U26" s="3">
        <v>1800.16410398483</v>
      </c>
      <c r="V26" s="3">
        <v>0</v>
      </c>
      <c r="W26" s="3">
        <v>3</v>
      </c>
      <c r="X26" s="3">
        <v>9</v>
      </c>
      <c r="Y26" s="3">
        <v>9</v>
      </c>
      <c r="Z26" s="3">
        <v>1780249</v>
      </c>
      <c r="AA26" s="3">
        <v>2448197</v>
      </c>
      <c r="AB26" s="3">
        <v>26.086484670638999</v>
      </c>
      <c r="AC26" s="3">
        <v>345.55411434173499</v>
      </c>
      <c r="AD26" s="3">
        <v>2</v>
      </c>
      <c r="AE26" s="3">
        <v>2</v>
      </c>
    </row>
    <row r="27" spans="1:31" x14ac:dyDescent="0.25">
      <c r="A27" s="3" t="s">
        <v>21</v>
      </c>
      <c r="B27" s="3">
        <v>30</v>
      </c>
      <c r="C27" s="3">
        <v>1500</v>
      </c>
      <c r="D27" s="3">
        <v>780</v>
      </c>
      <c r="E27" s="3">
        <v>0.5</v>
      </c>
      <c r="F27" s="3">
        <v>390</v>
      </c>
      <c r="G27" s="3"/>
      <c r="H27" s="3">
        <v>0</v>
      </c>
      <c r="I27" s="3">
        <v>2704947</v>
      </c>
      <c r="J27" s="3">
        <v>3260818</v>
      </c>
      <c r="K27" s="3">
        <v>3263819</v>
      </c>
      <c r="L27" s="3">
        <v>3509564.0157101001</v>
      </c>
      <c r="M27" s="3">
        <v>3482412.2089579902</v>
      </c>
      <c r="N27" s="3">
        <v>130</v>
      </c>
      <c r="O27" s="3">
        <v>218</v>
      </c>
      <c r="P27" s="3">
        <v>130</v>
      </c>
      <c r="Q27" s="3">
        <v>88</v>
      </c>
      <c r="R27" s="3"/>
      <c r="S27" s="3">
        <v>1800.3879854679101</v>
      </c>
      <c r="T27" s="3">
        <v>90.850393533706594</v>
      </c>
      <c r="U27" s="3">
        <v>1807.97025179862</v>
      </c>
      <c r="V27" s="3">
        <v>0</v>
      </c>
      <c r="W27" s="3">
        <v>2</v>
      </c>
      <c r="X27" s="3">
        <v>9</v>
      </c>
      <c r="Y27" s="3">
        <v>9</v>
      </c>
      <c r="Z27" s="3">
        <v>2704947</v>
      </c>
      <c r="AA27" s="3">
        <v>3263819</v>
      </c>
      <c r="AB27" s="3">
        <v>29.828792572021399</v>
      </c>
      <c r="AC27" s="3">
        <v>349.14551806449799</v>
      </c>
      <c r="AD27" s="3">
        <v>2</v>
      </c>
      <c r="AE27" s="3">
        <v>1</v>
      </c>
    </row>
    <row r="28" spans="1:31" x14ac:dyDescent="0.25">
      <c r="A28" s="3" t="s">
        <v>21</v>
      </c>
      <c r="B28" s="3">
        <v>30</v>
      </c>
      <c r="C28" s="3">
        <v>1500</v>
      </c>
      <c r="D28" s="3">
        <v>950</v>
      </c>
      <c r="E28" s="3">
        <v>0.8</v>
      </c>
      <c r="F28" s="3">
        <v>760</v>
      </c>
      <c r="G28" s="3"/>
      <c r="H28" s="3">
        <v>0</v>
      </c>
      <c r="I28" s="3">
        <v>3724013</v>
      </c>
      <c r="J28" s="3">
        <v>4910373</v>
      </c>
      <c r="K28" s="3">
        <v>4919719</v>
      </c>
      <c r="L28" s="3">
        <v>5574905.7333332701</v>
      </c>
      <c r="M28" s="3">
        <v>5399078.3600002602</v>
      </c>
      <c r="N28" s="3">
        <v>103</v>
      </c>
      <c r="O28" s="3">
        <v>189</v>
      </c>
      <c r="P28" s="3">
        <v>103</v>
      </c>
      <c r="Q28" s="3">
        <v>86</v>
      </c>
      <c r="R28" s="3"/>
      <c r="S28" s="3">
        <v>1800.3728561401299</v>
      </c>
      <c r="T28" s="3">
        <v>82.101927995681706</v>
      </c>
      <c r="U28" s="3">
        <v>1800.3432898521401</v>
      </c>
      <c r="V28" s="3">
        <v>0</v>
      </c>
      <c r="W28" s="3">
        <v>3</v>
      </c>
      <c r="X28" s="3">
        <v>9</v>
      </c>
      <c r="Y28" s="3">
        <v>9</v>
      </c>
      <c r="Z28" s="3">
        <v>3724013</v>
      </c>
      <c r="AA28" s="3">
        <v>4919719</v>
      </c>
      <c r="AB28" s="3">
        <v>28.1008446216583</v>
      </c>
      <c r="AC28" s="3">
        <v>346.41636061668299</v>
      </c>
      <c r="AD28" s="3">
        <v>2</v>
      </c>
      <c r="AE2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BZRvsZR</vt:lpstr>
      <vt:lpstr>RRR-BRD</vt:lpstr>
      <vt:lpstr>EBMC_original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Hyunwoo</cp:lastModifiedBy>
  <dcterms:created xsi:type="dcterms:W3CDTF">2025-03-19T14:19:53Z</dcterms:created>
  <dcterms:modified xsi:type="dcterms:W3CDTF">2026-01-25T14:56:06Z</dcterms:modified>
</cp:coreProperties>
</file>