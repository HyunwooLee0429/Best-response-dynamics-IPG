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EBMC/EBMC_results/multi_dataset/"/>
    </mc:Choice>
  </mc:AlternateContent>
  <xr:revisionPtr revIDLastSave="185" documentId="8_{1ECB2F0B-FCE9-4B76-A73F-314523F625F6}" xr6:coauthVersionLast="47" xr6:coauthVersionMax="47" xr10:uidLastSave="{F7C5DEA9-B061-4ED0-8D58-6FA542756871}"/>
  <bookViews>
    <workbookView xWindow="57480" yWindow="-120" windowWidth="38640" windowHeight="21120" activeTab="1" xr2:uid="{9320653A-9246-4E06-9659-A12964FACA73}"/>
  </bookViews>
  <sheets>
    <sheet name="BZRvsZR" sheetId="4" r:id="rId1"/>
    <sheet name="RR-BRD" sheetId="3" r:id="rId2"/>
    <sheet name="EBMC_tes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/>
  <c r="F29" i="3"/>
  <c r="G29" i="3"/>
  <c r="H29" i="3"/>
  <c r="I29" i="3"/>
  <c r="J29" i="3"/>
  <c r="K29" i="3"/>
  <c r="L29" i="3"/>
  <c r="O29" i="4"/>
  <c r="P29" i="4"/>
  <c r="N29" i="4"/>
  <c r="M29" i="4"/>
  <c r="D29" i="4"/>
  <c r="C29" i="4"/>
  <c r="F27" i="3" l="1"/>
  <c r="F26" i="3"/>
  <c r="F24" i="3"/>
  <c r="F23" i="3"/>
  <c r="F22" i="3"/>
  <c r="F20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20" i="4"/>
  <c r="J22" i="4"/>
  <c r="J23" i="4"/>
  <c r="J24" i="4"/>
  <c r="J26" i="4"/>
  <c r="J27" i="4"/>
  <c r="J2" i="4"/>
  <c r="C29" i="3"/>
  <c r="J29" i="4" l="1"/>
</calcChain>
</file>

<file path=xl/sharedStrings.xml><?xml version="1.0" encoding="utf-8"?>
<sst xmlns="http://schemas.openxmlformats.org/spreadsheetml/2006/main" count="161" uniqueCount="33">
  <si>
    <t>num_cts</t>
  </si>
  <si>
    <t>num_lakes</t>
  </si>
  <si>
    <t>num_infested_lakes</t>
  </si>
  <si>
    <t>budget_ratio</t>
  </si>
  <si>
    <t>budget</t>
  </si>
  <si>
    <t>ZR_1st</t>
  </si>
  <si>
    <t>ZR</t>
  </si>
  <si>
    <t>BZR_1st</t>
  </si>
  <si>
    <t>BZR</t>
  </si>
  <si>
    <t>OSW</t>
  </si>
  <si>
    <t>bound_ZR</t>
  </si>
  <si>
    <t>bound_BZR</t>
  </si>
  <si>
    <t>Cuts_ZR</t>
  </si>
  <si>
    <t>Cuts_BZR_total</t>
  </si>
  <si>
    <t>Cuts_BZR</t>
  </si>
  <si>
    <t>Ad_Cuts_BZR</t>
  </si>
  <si>
    <t>ZR_1st_T</t>
  </si>
  <si>
    <t>ZR_T</t>
  </si>
  <si>
    <t>BZR_1st_T</t>
  </si>
  <si>
    <t>BZR_T</t>
  </si>
  <si>
    <t>num_PNEs_ZR</t>
  </si>
  <si>
    <t>num_PNEs_BZR</t>
  </si>
  <si>
    <t>Status_ZR</t>
  </si>
  <si>
    <t>Status_BZR</t>
  </si>
  <si>
    <t>BRD(0)</t>
  </si>
  <si>
    <t>BRD(OSW)</t>
  </si>
  <si>
    <t>BRD(0)_T</t>
  </si>
  <si>
    <t>BRD(OSW)_T</t>
  </si>
  <si>
    <t>it_BRD(0)</t>
  </si>
  <si>
    <t>it_BRD(OSW)</t>
  </si>
  <si>
    <t>Total</t>
  </si>
  <si>
    <t>POS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</si>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</sst>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65" fontId="18" fillId="0" borderId="0" xfId="0" applyNumberFormat="1" applyFont="1"/>
    <xf numFmtId="165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35E2-6F8D-4554-8E82-0A63130A9294}">
  <dimension ref="A1:P29"/>
  <sheetViews>
    <sheetView workbookViewId="0">
      <selection activeCell="AD18" sqref="AD18"/>
    </sheetView>
  </sheetViews>
  <sheetFormatPr defaultRowHeight="14.5" x14ac:dyDescent="0.35"/>
  <cols>
    <col min="11" max="11" width="8.90625" bestFit="1" customWidth="1"/>
    <col min="12" max="12" width="6.36328125" bestFit="1" customWidth="1"/>
    <col min="13" max="13" width="10.08984375" bestFit="1" customWidth="1"/>
    <col min="14" max="14" width="6.6328125" bestFit="1" customWidth="1"/>
  </cols>
  <sheetData>
    <row r="1" spans="1:16" x14ac:dyDescent="0.35">
      <c r="A1" t="s">
        <v>0</v>
      </c>
      <c r="B1" t="s">
        <v>3</v>
      </c>
      <c r="C1" t="s">
        <v>20</v>
      </c>
      <c r="D1" t="s">
        <v>21</v>
      </c>
      <c r="E1" t="s">
        <v>6</v>
      </c>
      <c r="F1" t="s">
        <v>8</v>
      </c>
      <c r="G1" t="s">
        <v>10</v>
      </c>
      <c r="H1" t="s">
        <v>11</v>
      </c>
      <c r="I1" t="s">
        <v>9</v>
      </c>
      <c r="J1" t="s">
        <v>31</v>
      </c>
      <c r="K1" t="s">
        <v>16</v>
      </c>
      <c r="L1" t="s">
        <v>17</v>
      </c>
      <c r="M1" t="s">
        <v>18</v>
      </c>
      <c r="N1" t="s">
        <v>19</v>
      </c>
      <c r="O1" t="s">
        <v>12</v>
      </c>
      <c r="P1" t="s">
        <v>13</v>
      </c>
    </row>
    <row r="2" spans="1:16" x14ac:dyDescent="0.35">
      <c r="A2">
        <v>2</v>
      </c>
      <c r="B2">
        <v>0.3</v>
      </c>
      <c r="C2">
        <v>1</v>
      </c>
      <c r="D2">
        <v>1</v>
      </c>
      <c r="E2" s="2">
        <v>51.378</v>
      </c>
      <c r="F2" s="2">
        <v>51.378</v>
      </c>
      <c r="G2" s="2">
        <v>51.378</v>
      </c>
      <c r="H2" s="2">
        <v>51.378</v>
      </c>
      <c r="I2" s="2">
        <v>56.284999999999997</v>
      </c>
      <c r="J2" s="1">
        <f>I2/F2</f>
        <v>1.0955078048970375</v>
      </c>
      <c r="K2" s="2">
        <v>9.6648380760000006</v>
      </c>
      <c r="L2" s="2">
        <v>9.8208465579999995</v>
      </c>
      <c r="M2" s="2">
        <v>0.80282044399999997</v>
      </c>
      <c r="N2" s="2">
        <v>12.76547313</v>
      </c>
      <c r="O2">
        <v>12</v>
      </c>
      <c r="P2">
        <v>19</v>
      </c>
    </row>
    <row r="3" spans="1:16" x14ac:dyDescent="0.35">
      <c r="B3">
        <v>0.5</v>
      </c>
      <c r="C3">
        <v>0</v>
      </c>
      <c r="D3" s="3">
        <v>1</v>
      </c>
      <c r="E3" s="2" t="s">
        <v>32</v>
      </c>
      <c r="F3" s="4">
        <v>83.835999999999999</v>
      </c>
      <c r="G3" s="4">
        <v>85.745999999999995</v>
      </c>
      <c r="H3" s="2">
        <v>86.034999999999997</v>
      </c>
      <c r="I3" s="2">
        <v>86.602999999999994</v>
      </c>
      <c r="J3" s="1">
        <f t="shared" ref="J3:J27" si="0">I3/F3</f>
        <v>1.0330049143566009</v>
      </c>
      <c r="K3" t="s">
        <v>32</v>
      </c>
      <c r="L3" s="2">
        <v>1800.262291</v>
      </c>
      <c r="M3" s="2">
        <v>1.403070211</v>
      </c>
      <c r="N3" s="2">
        <v>1800.097626</v>
      </c>
      <c r="O3">
        <v>11</v>
      </c>
      <c r="P3">
        <v>20</v>
      </c>
    </row>
    <row r="4" spans="1:16" x14ac:dyDescent="0.35">
      <c r="B4">
        <v>0.8</v>
      </c>
      <c r="C4">
        <v>0</v>
      </c>
      <c r="D4" s="3">
        <v>6</v>
      </c>
      <c r="E4" s="2" t="s">
        <v>32</v>
      </c>
      <c r="F4" s="4">
        <v>92.766000000000005</v>
      </c>
      <c r="G4" s="4">
        <v>94.099000000000004</v>
      </c>
      <c r="H4" s="2">
        <v>94.344999999999999</v>
      </c>
      <c r="I4" s="2">
        <v>95.244</v>
      </c>
      <c r="J4" s="1">
        <f t="shared" si="0"/>
        <v>1.0267123730677188</v>
      </c>
      <c r="K4" t="s">
        <v>32</v>
      </c>
      <c r="L4" s="2">
        <v>1800.119338</v>
      </c>
      <c r="M4" s="2">
        <v>2.1070227620000002</v>
      </c>
      <c r="N4" s="2">
        <v>1800.1450769999999</v>
      </c>
      <c r="O4">
        <v>14</v>
      </c>
      <c r="P4">
        <v>26</v>
      </c>
    </row>
    <row r="5" spans="1:16" x14ac:dyDescent="0.35">
      <c r="A5">
        <v>3</v>
      </c>
      <c r="B5">
        <v>0.3</v>
      </c>
      <c r="C5">
        <v>1</v>
      </c>
      <c r="D5">
        <v>1</v>
      </c>
      <c r="E5" s="2">
        <v>114.985</v>
      </c>
      <c r="F5" s="2">
        <v>114.985</v>
      </c>
      <c r="G5" s="2">
        <v>114.985</v>
      </c>
      <c r="H5" s="2">
        <v>114.985</v>
      </c>
      <c r="I5" s="2">
        <v>139.71299999999999</v>
      </c>
      <c r="J5" s="1">
        <f t="shared" si="0"/>
        <v>1.2150541374961952</v>
      </c>
      <c r="K5" s="2">
        <v>1423.3550829999999</v>
      </c>
      <c r="L5" s="2">
        <v>1423.653779</v>
      </c>
      <c r="M5" s="2">
        <v>1.9232392309999999</v>
      </c>
      <c r="N5" s="2">
        <v>1040.0817950000001</v>
      </c>
      <c r="O5">
        <v>18</v>
      </c>
      <c r="P5">
        <v>29</v>
      </c>
    </row>
    <row r="6" spans="1:16" x14ac:dyDescent="0.35">
      <c r="B6">
        <v>0.5</v>
      </c>
      <c r="C6">
        <v>0</v>
      </c>
      <c r="D6" s="3">
        <v>2</v>
      </c>
      <c r="E6" s="2" t="s">
        <v>32</v>
      </c>
      <c r="F6" s="4">
        <v>178.58099999999999</v>
      </c>
      <c r="G6" s="2">
        <v>197.9478412</v>
      </c>
      <c r="H6" s="4">
        <v>196.69399999999999</v>
      </c>
      <c r="I6" s="2">
        <v>200.32900000000001</v>
      </c>
      <c r="J6" s="1">
        <f t="shared" si="0"/>
        <v>1.1217822724701958</v>
      </c>
      <c r="K6" t="s">
        <v>32</v>
      </c>
      <c r="L6" s="2">
        <v>1800.369021</v>
      </c>
      <c r="M6" s="2">
        <v>2.285215139</v>
      </c>
      <c r="N6" s="2">
        <v>1800.461632</v>
      </c>
      <c r="O6">
        <v>15</v>
      </c>
      <c r="P6">
        <v>29</v>
      </c>
    </row>
    <row r="7" spans="1:16" x14ac:dyDescent="0.35">
      <c r="B7">
        <v>0.8</v>
      </c>
      <c r="C7">
        <v>0</v>
      </c>
      <c r="D7" s="3">
        <v>1</v>
      </c>
      <c r="E7" s="2" t="s">
        <v>32</v>
      </c>
      <c r="F7" s="4">
        <v>252.196</v>
      </c>
      <c r="G7" s="4">
        <v>257.70699999999999</v>
      </c>
      <c r="H7" s="2">
        <v>257.815</v>
      </c>
      <c r="I7" s="2">
        <v>253.66200000000001</v>
      </c>
      <c r="J7" s="1">
        <f t="shared" si="0"/>
        <v>1.0058129391425716</v>
      </c>
      <c r="K7" t="s">
        <v>32</v>
      </c>
      <c r="L7" s="2">
        <v>1800.342453</v>
      </c>
      <c r="M7" s="2">
        <v>1.923192024</v>
      </c>
      <c r="N7" s="2">
        <v>1800.4455009999999</v>
      </c>
      <c r="O7">
        <v>15</v>
      </c>
      <c r="P7">
        <v>32</v>
      </c>
    </row>
    <row r="8" spans="1:16" x14ac:dyDescent="0.35">
      <c r="A8">
        <v>5</v>
      </c>
      <c r="B8">
        <v>0.3</v>
      </c>
      <c r="C8">
        <v>1</v>
      </c>
      <c r="D8">
        <v>1</v>
      </c>
      <c r="E8" s="2">
        <v>380.00200000000001</v>
      </c>
      <c r="F8" s="2">
        <v>380.00200000000001</v>
      </c>
      <c r="G8" s="2">
        <v>380.036</v>
      </c>
      <c r="H8" s="2">
        <v>380.036</v>
      </c>
      <c r="I8" s="2">
        <v>399.77100000000002</v>
      </c>
      <c r="J8" s="1">
        <f t="shared" si="0"/>
        <v>1.0520234104031032</v>
      </c>
      <c r="K8" s="2">
        <v>489.1957438</v>
      </c>
      <c r="L8" s="2">
        <v>665.87365150000005</v>
      </c>
      <c r="M8" s="2">
        <v>5.660630941</v>
      </c>
      <c r="N8" s="2">
        <v>642.86592819999998</v>
      </c>
      <c r="O8">
        <v>28</v>
      </c>
      <c r="P8">
        <v>49</v>
      </c>
    </row>
    <row r="9" spans="1:16" x14ac:dyDescent="0.35">
      <c r="B9">
        <v>0.5</v>
      </c>
      <c r="C9">
        <v>0</v>
      </c>
      <c r="D9" s="3">
        <v>1</v>
      </c>
      <c r="E9" s="2" t="s">
        <v>32</v>
      </c>
      <c r="F9" s="4">
        <v>557.55200000000002</v>
      </c>
      <c r="G9" s="2">
        <v>626.74263970000004</v>
      </c>
      <c r="H9" s="4">
        <v>618.45781999999997</v>
      </c>
      <c r="I9" s="2">
        <v>577.33500000000004</v>
      </c>
      <c r="J9" s="1">
        <f t="shared" si="0"/>
        <v>1.0354818922719315</v>
      </c>
      <c r="K9" t="s">
        <v>32</v>
      </c>
      <c r="L9" s="2">
        <v>1800.290444</v>
      </c>
      <c r="M9" s="2">
        <v>5.6352517600000001</v>
      </c>
      <c r="N9" s="2">
        <v>1800.0144290000001</v>
      </c>
      <c r="O9">
        <v>25</v>
      </c>
      <c r="P9">
        <v>43</v>
      </c>
    </row>
    <row r="10" spans="1:16" x14ac:dyDescent="0.35">
      <c r="B10">
        <v>0.8</v>
      </c>
      <c r="C10">
        <v>0</v>
      </c>
      <c r="D10" s="3">
        <v>1</v>
      </c>
      <c r="E10" s="2" t="s">
        <v>32</v>
      </c>
      <c r="F10" s="4">
        <v>650.149</v>
      </c>
      <c r="G10" s="4">
        <v>671.13635699999998</v>
      </c>
      <c r="H10" s="2">
        <v>677.50858189999997</v>
      </c>
      <c r="I10" s="2">
        <v>661.93</v>
      </c>
      <c r="J10" s="1">
        <f t="shared" si="0"/>
        <v>1.0181204616172599</v>
      </c>
      <c r="K10" t="s">
        <v>32</v>
      </c>
      <c r="L10" s="2">
        <v>1800.662724</v>
      </c>
      <c r="M10" s="2">
        <v>5.3580243589999998</v>
      </c>
      <c r="N10" s="2">
        <v>1800.5008800000001</v>
      </c>
      <c r="O10">
        <v>25</v>
      </c>
      <c r="P10">
        <v>57</v>
      </c>
    </row>
    <row r="11" spans="1:16" x14ac:dyDescent="0.35">
      <c r="A11">
        <v>8</v>
      </c>
      <c r="B11">
        <v>0.3</v>
      </c>
      <c r="C11">
        <v>0</v>
      </c>
      <c r="D11" s="3">
        <v>1</v>
      </c>
      <c r="E11" s="2" t="s">
        <v>32</v>
      </c>
      <c r="F11" s="4">
        <v>862.11</v>
      </c>
      <c r="G11" s="4">
        <v>975.90364790000001</v>
      </c>
      <c r="H11" s="2">
        <v>980.4333858</v>
      </c>
      <c r="I11" s="2">
        <v>995.78099999999995</v>
      </c>
      <c r="J11" s="1">
        <f t="shared" si="0"/>
        <v>1.1550509795733723</v>
      </c>
      <c r="K11" t="s">
        <v>32</v>
      </c>
      <c r="L11" s="2">
        <v>1800.0683859999999</v>
      </c>
      <c r="M11" s="2">
        <v>14.825190539999999</v>
      </c>
      <c r="N11" s="2">
        <v>1800.064517</v>
      </c>
      <c r="O11">
        <v>40</v>
      </c>
      <c r="P11">
        <v>70</v>
      </c>
    </row>
    <row r="12" spans="1:16" x14ac:dyDescent="0.35">
      <c r="B12">
        <v>0.5</v>
      </c>
      <c r="C12">
        <v>0</v>
      </c>
      <c r="D12" s="3">
        <v>1</v>
      </c>
      <c r="E12" s="2" t="s">
        <v>32</v>
      </c>
      <c r="F12" s="4">
        <v>1214.5029999999999</v>
      </c>
      <c r="G12" s="4">
        <v>1527.4131110000001</v>
      </c>
      <c r="H12" s="2">
        <v>1535.099105</v>
      </c>
      <c r="I12" s="2">
        <v>1387.8589999999999</v>
      </c>
      <c r="J12" s="1">
        <f t="shared" si="0"/>
        <v>1.1427382229603384</v>
      </c>
      <c r="K12" t="s">
        <v>32</v>
      </c>
      <c r="L12" s="2">
        <v>1800.101441</v>
      </c>
      <c r="M12" s="2">
        <v>14.362980840000001</v>
      </c>
      <c r="N12" s="2">
        <v>1800.0596909999999</v>
      </c>
      <c r="O12">
        <v>40</v>
      </c>
      <c r="P12">
        <v>75</v>
      </c>
    </row>
    <row r="13" spans="1:16" x14ac:dyDescent="0.35">
      <c r="B13">
        <v>0.8</v>
      </c>
      <c r="C13">
        <v>0</v>
      </c>
      <c r="D13" s="3">
        <v>1</v>
      </c>
      <c r="E13" s="2" t="s">
        <v>32</v>
      </c>
      <c r="F13" s="4">
        <v>1661.53</v>
      </c>
      <c r="G13" s="4">
        <v>1770.2723590000001</v>
      </c>
      <c r="H13" s="2">
        <v>1771.299444</v>
      </c>
      <c r="I13" s="2">
        <v>1721.046</v>
      </c>
      <c r="J13" s="1">
        <f t="shared" si="0"/>
        <v>1.0358199972314674</v>
      </c>
      <c r="K13" t="s">
        <v>32</v>
      </c>
      <c r="L13" s="2">
        <v>1800.058358</v>
      </c>
      <c r="M13" s="2">
        <v>14.813669920000001</v>
      </c>
      <c r="N13" s="2">
        <v>1800.1751859999999</v>
      </c>
      <c r="O13">
        <v>40</v>
      </c>
      <c r="P13">
        <v>78</v>
      </c>
    </row>
    <row r="14" spans="1:16" x14ac:dyDescent="0.35">
      <c r="A14">
        <v>10</v>
      </c>
      <c r="B14">
        <v>0.3</v>
      </c>
      <c r="C14">
        <v>0</v>
      </c>
      <c r="D14" s="3">
        <v>1</v>
      </c>
      <c r="E14" s="2" t="s">
        <v>32</v>
      </c>
      <c r="F14" s="4">
        <v>1265.163</v>
      </c>
      <c r="G14" s="4">
        <v>1517.750446</v>
      </c>
      <c r="H14" s="2">
        <v>1526.509362</v>
      </c>
      <c r="I14" s="2">
        <v>1521.569</v>
      </c>
      <c r="J14" s="1">
        <f t="shared" si="0"/>
        <v>1.2026663757950555</v>
      </c>
      <c r="K14" t="s">
        <v>32</v>
      </c>
      <c r="L14" s="2">
        <v>1800.076859</v>
      </c>
      <c r="M14" s="2">
        <v>24.877357480000001</v>
      </c>
      <c r="N14" s="2">
        <v>1800.0600939999999</v>
      </c>
      <c r="O14">
        <v>50</v>
      </c>
      <c r="P14">
        <v>95</v>
      </c>
    </row>
    <row r="15" spans="1:16" x14ac:dyDescent="0.35">
      <c r="B15">
        <v>0.5</v>
      </c>
      <c r="C15">
        <v>0</v>
      </c>
      <c r="D15" s="3">
        <v>1</v>
      </c>
      <c r="E15" s="2" t="s">
        <v>32</v>
      </c>
      <c r="F15" s="4">
        <v>2083.1860000000001</v>
      </c>
      <c r="G15" s="4">
        <v>2635.1551749999999</v>
      </c>
      <c r="H15" s="2">
        <v>2635.7204999999999</v>
      </c>
      <c r="I15" s="2">
        <v>2253.9450000000002</v>
      </c>
      <c r="J15" s="1">
        <f t="shared" si="0"/>
        <v>1.0819701169266691</v>
      </c>
      <c r="K15" t="s">
        <v>32</v>
      </c>
      <c r="L15" s="2">
        <v>1800.08772</v>
      </c>
      <c r="M15" s="2">
        <v>23.213637590000001</v>
      </c>
      <c r="N15" s="2">
        <v>1800.0930739999999</v>
      </c>
      <c r="O15">
        <v>50</v>
      </c>
      <c r="P15">
        <v>93</v>
      </c>
    </row>
    <row r="16" spans="1:16" x14ac:dyDescent="0.35">
      <c r="B16">
        <v>0.8</v>
      </c>
      <c r="C16">
        <v>0</v>
      </c>
      <c r="D16" s="3">
        <v>1</v>
      </c>
      <c r="E16" s="2" t="s">
        <v>32</v>
      </c>
      <c r="F16" s="4">
        <v>2612.3319999999999</v>
      </c>
      <c r="G16" s="4">
        <v>2755.831784</v>
      </c>
      <c r="H16" s="2">
        <v>2757.3106439999997</v>
      </c>
      <c r="I16" s="2">
        <v>2685.2069999999999</v>
      </c>
      <c r="J16" s="1">
        <f t="shared" si="0"/>
        <v>1.0278965307625525</v>
      </c>
      <c r="K16" t="s">
        <v>32</v>
      </c>
      <c r="L16" s="2">
        <v>1800.328407</v>
      </c>
      <c r="M16" s="2">
        <v>25.69535995</v>
      </c>
      <c r="N16" s="2">
        <v>1800.3054509999999</v>
      </c>
      <c r="O16">
        <v>50</v>
      </c>
      <c r="P16">
        <v>100</v>
      </c>
    </row>
    <row r="17" spans="1:16" x14ac:dyDescent="0.35">
      <c r="A17">
        <v>15</v>
      </c>
      <c r="B17">
        <v>0.3</v>
      </c>
      <c r="C17">
        <v>0</v>
      </c>
      <c r="D17" s="3">
        <v>1</v>
      </c>
      <c r="E17" s="2" t="s">
        <v>32</v>
      </c>
      <c r="F17" s="4">
        <v>2916.375</v>
      </c>
      <c r="G17" s="4">
        <v>3501.451845</v>
      </c>
      <c r="H17" s="2">
        <v>3523.7218520000001</v>
      </c>
      <c r="I17" s="2">
        <v>3440.1909999999998</v>
      </c>
      <c r="J17" s="1">
        <f t="shared" si="0"/>
        <v>1.1796120183446916</v>
      </c>
      <c r="K17" t="s">
        <v>32</v>
      </c>
      <c r="L17" s="2">
        <v>1800.3211020000001</v>
      </c>
      <c r="M17" s="2">
        <v>56.704460140000002</v>
      </c>
      <c r="N17" s="2">
        <v>1800.138594</v>
      </c>
      <c r="O17">
        <v>75</v>
      </c>
      <c r="P17">
        <v>131</v>
      </c>
    </row>
    <row r="18" spans="1:16" x14ac:dyDescent="0.35">
      <c r="B18">
        <v>0.5</v>
      </c>
      <c r="C18">
        <v>0</v>
      </c>
      <c r="D18" s="3">
        <v>1</v>
      </c>
      <c r="E18" s="2" t="s">
        <v>32</v>
      </c>
      <c r="F18" s="4">
        <v>4476.8289999999997</v>
      </c>
      <c r="G18" s="4">
        <v>5728.7301420000003</v>
      </c>
      <c r="H18" s="2">
        <v>5750.6701149999999</v>
      </c>
      <c r="I18" s="2">
        <v>5030.076</v>
      </c>
      <c r="J18" s="1">
        <f t="shared" si="0"/>
        <v>1.1235801054719758</v>
      </c>
      <c r="K18" t="s">
        <v>32</v>
      </c>
      <c r="L18" s="2">
        <v>1800.3128340000001</v>
      </c>
      <c r="M18" s="2">
        <v>58.599058630000002</v>
      </c>
      <c r="N18" s="2">
        <v>1800.1593760000001</v>
      </c>
      <c r="O18">
        <v>75</v>
      </c>
      <c r="P18">
        <v>137</v>
      </c>
    </row>
    <row r="19" spans="1:16" x14ac:dyDescent="0.35">
      <c r="B19">
        <v>0.8</v>
      </c>
      <c r="C19">
        <v>0</v>
      </c>
      <c r="D19">
        <v>0</v>
      </c>
      <c r="E19" s="2" t="s">
        <v>32</v>
      </c>
      <c r="F19" s="2" t="s">
        <v>32</v>
      </c>
      <c r="G19" s="4">
        <v>6423.5330990000002</v>
      </c>
      <c r="H19" s="2">
        <v>6428.6916600000004</v>
      </c>
      <c r="I19" s="2">
        <v>6206.3389999999999</v>
      </c>
      <c r="J19" s="1" t="s">
        <v>32</v>
      </c>
      <c r="K19" t="s">
        <v>32</v>
      </c>
      <c r="L19" s="2">
        <v>1800.2884220000001</v>
      </c>
      <c r="M19" t="s">
        <v>32</v>
      </c>
      <c r="N19" s="2">
        <v>1800.3143669999999</v>
      </c>
      <c r="O19">
        <v>75</v>
      </c>
      <c r="P19">
        <v>150</v>
      </c>
    </row>
    <row r="20" spans="1:16" x14ac:dyDescent="0.35">
      <c r="A20">
        <v>20</v>
      </c>
      <c r="B20">
        <v>0.3</v>
      </c>
      <c r="C20">
        <v>0</v>
      </c>
      <c r="D20" s="3">
        <v>1</v>
      </c>
      <c r="E20" s="2" t="s">
        <v>32</v>
      </c>
      <c r="F20" s="4">
        <v>5373.5720000000001</v>
      </c>
      <c r="G20" s="2">
        <v>6483.5510850000001</v>
      </c>
      <c r="H20" s="4">
        <v>6483.057084</v>
      </c>
      <c r="I20" s="2">
        <v>6284.192</v>
      </c>
      <c r="J20" s="1">
        <f t="shared" si="0"/>
        <v>1.1694626963219252</v>
      </c>
      <c r="K20" t="s">
        <v>32</v>
      </c>
      <c r="L20" s="2">
        <v>1800.4316409999999</v>
      </c>
      <c r="M20" s="2">
        <v>118.5226195</v>
      </c>
      <c r="N20" s="2">
        <v>1800.26226</v>
      </c>
      <c r="O20">
        <v>100</v>
      </c>
      <c r="P20">
        <v>178</v>
      </c>
    </row>
    <row r="21" spans="1:16" x14ac:dyDescent="0.35">
      <c r="B21">
        <v>0.5</v>
      </c>
      <c r="C21">
        <v>0</v>
      </c>
      <c r="D21">
        <v>0</v>
      </c>
      <c r="E21" s="2" t="s">
        <v>32</v>
      </c>
      <c r="F21" s="2" t="s">
        <v>32</v>
      </c>
      <c r="G21" s="4">
        <v>10639.594499999999</v>
      </c>
      <c r="H21" s="2">
        <v>11452.547</v>
      </c>
      <c r="I21" s="2">
        <v>9019.3619999999992</v>
      </c>
      <c r="J21" s="1" t="s">
        <v>32</v>
      </c>
      <c r="K21" t="s">
        <v>32</v>
      </c>
      <c r="L21" s="2">
        <v>1800.361979</v>
      </c>
      <c r="M21" t="s">
        <v>32</v>
      </c>
      <c r="N21" s="2">
        <v>1800.3867889999999</v>
      </c>
      <c r="O21">
        <v>100</v>
      </c>
      <c r="P21">
        <v>200</v>
      </c>
    </row>
    <row r="22" spans="1:16" x14ac:dyDescent="0.35">
      <c r="B22">
        <v>0.8</v>
      </c>
      <c r="C22">
        <v>0</v>
      </c>
      <c r="D22" s="3">
        <v>1</v>
      </c>
      <c r="E22" s="2" t="s">
        <v>32</v>
      </c>
      <c r="F22" s="4">
        <v>10149.677</v>
      </c>
      <c r="G22" s="4">
        <v>10856.706269999999</v>
      </c>
      <c r="H22" s="2">
        <v>10858.17756</v>
      </c>
      <c r="I22" s="2">
        <v>10510.8</v>
      </c>
      <c r="J22" s="1">
        <f t="shared" si="0"/>
        <v>1.0355797529320392</v>
      </c>
      <c r="K22" t="s">
        <v>32</v>
      </c>
      <c r="L22" s="2">
        <v>1800.4086359999999</v>
      </c>
      <c r="M22" s="2">
        <v>117.44336749999999</v>
      </c>
      <c r="N22" s="2">
        <v>1800.173131</v>
      </c>
      <c r="O22">
        <v>99</v>
      </c>
      <c r="P22">
        <v>190</v>
      </c>
    </row>
    <row r="23" spans="1:16" x14ac:dyDescent="0.35">
      <c r="A23">
        <v>25</v>
      </c>
      <c r="B23">
        <v>0.3</v>
      </c>
      <c r="C23">
        <v>0</v>
      </c>
      <c r="D23" s="3">
        <v>1</v>
      </c>
      <c r="E23" s="2" t="s">
        <v>32</v>
      </c>
      <c r="F23" s="4">
        <v>8023.8620000000001</v>
      </c>
      <c r="G23" s="4">
        <v>9787.5295280000009</v>
      </c>
      <c r="H23" s="2">
        <v>17369.583999999999</v>
      </c>
      <c r="I23" s="2">
        <v>9502.9240000000009</v>
      </c>
      <c r="J23" s="1">
        <f t="shared" si="0"/>
        <v>1.1843329309502084</v>
      </c>
      <c r="K23" t="s">
        <v>32</v>
      </c>
      <c r="L23" s="2">
        <v>1800.4498980000001</v>
      </c>
      <c r="M23" s="2">
        <v>166.86226769999999</v>
      </c>
      <c r="N23" s="2">
        <v>1800.8454830000001</v>
      </c>
      <c r="O23">
        <v>125</v>
      </c>
      <c r="P23">
        <v>210</v>
      </c>
    </row>
    <row r="24" spans="1:16" x14ac:dyDescent="0.35">
      <c r="B24">
        <v>0.5</v>
      </c>
      <c r="C24">
        <v>0</v>
      </c>
      <c r="D24" s="3">
        <v>1</v>
      </c>
      <c r="E24" s="2" t="s">
        <v>32</v>
      </c>
      <c r="F24" s="4">
        <v>12640.74</v>
      </c>
      <c r="G24" s="2">
        <v>17424.141</v>
      </c>
      <c r="H24" s="2">
        <v>17424.141</v>
      </c>
      <c r="I24" s="2">
        <v>13936.012000000001</v>
      </c>
      <c r="J24" s="1">
        <f t="shared" si="0"/>
        <v>1.1024680517121626</v>
      </c>
      <c r="K24" t="s">
        <v>32</v>
      </c>
      <c r="L24" s="2">
        <v>1800.5891899999999</v>
      </c>
      <c r="M24" s="2">
        <v>176.5225513</v>
      </c>
      <c r="N24" s="2">
        <v>1800.4977839999999</v>
      </c>
      <c r="O24">
        <v>125</v>
      </c>
      <c r="P24">
        <v>236</v>
      </c>
    </row>
    <row r="25" spans="1:16" x14ac:dyDescent="0.35">
      <c r="B25">
        <v>0.8</v>
      </c>
      <c r="C25">
        <v>0</v>
      </c>
      <c r="D25">
        <v>0</v>
      </c>
      <c r="E25" s="2" t="s">
        <v>32</v>
      </c>
      <c r="F25" s="2" t="s">
        <v>32</v>
      </c>
      <c r="G25" s="2">
        <v>17512.76209</v>
      </c>
      <c r="H25" s="4">
        <v>17521.461019999999</v>
      </c>
      <c r="I25" s="2">
        <v>16806.066999999999</v>
      </c>
      <c r="J25" s="1" t="s">
        <v>32</v>
      </c>
      <c r="K25" t="s">
        <v>32</v>
      </c>
      <c r="L25" s="2">
        <v>1800.439699</v>
      </c>
      <c r="M25" t="s">
        <v>32</v>
      </c>
      <c r="N25" s="2">
        <v>1800.529037</v>
      </c>
      <c r="O25">
        <v>125</v>
      </c>
      <c r="P25">
        <v>175</v>
      </c>
    </row>
    <row r="26" spans="1:16" x14ac:dyDescent="0.35">
      <c r="A26">
        <v>30</v>
      </c>
      <c r="B26">
        <v>0.3</v>
      </c>
      <c r="C26">
        <v>0</v>
      </c>
      <c r="D26" s="3">
        <v>1</v>
      </c>
      <c r="E26" s="2" t="s">
        <v>32</v>
      </c>
      <c r="F26" s="4">
        <v>11151.409</v>
      </c>
      <c r="G26" s="4">
        <v>13751.17865</v>
      </c>
      <c r="H26" s="2">
        <v>24217.329000000002</v>
      </c>
      <c r="I26" s="2">
        <v>13520.237999999999</v>
      </c>
      <c r="J26" s="1">
        <f t="shared" si="0"/>
        <v>1.2124241878313313</v>
      </c>
      <c r="K26" t="s">
        <v>32</v>
      </c>
      <c r="L26" s="2">
        <v>1800.6128309999999</v>
      </c>
      <c r="M26" s="2">
        <v>284.0628269</v>
      </c>
      <c r="N26" s="2">
        <v>1801.140159</v>
      </c>
      <c r="O26">
        <v>150</v>
      </c>
      <c r="P26">
        <v>267</v>
      </c>
    </row>
    <row r="27" spans="1:16" x14ac:dyDescent="0.35">
      <c r="B27">
        <v>0.5</v>
      </c>
      <c r="C27">
        <v>0</v>
      </c>
      <c r="D27" s="3">
        <v>1</v>
      </c>
      <c r="E27" s="2" t="s">
        <v>32</v>
      </c>
      <c r="F27" s="4">
        <v>17342.373</v>
      </c>
      <c r="G27" s="2">
        <v>25103.437999999998</v>
      </c>
      <c r="H27" s="2">
        <v>25103.437999999998</v>
      </c>
      <c r="I27" s="2">
        <v>16969.043000000001</v>
      </c>
      <c r="J27" s="1">
        <f t="shared" si="0"/>
        <v>0.9784729575358575</v>
      </c>
      <c r="K27" t="s">
        <v>32</v>
      </c>
      <c r="L27" s="2">
        <v>1800.761258</v>
      </c>
      <c r="M27" s="2">
        <v>288.53134849999998</v>
      </c>
      <c r="N27" s="2">
        <v>1800.891597</v>
      </c>
      <c r="O27">
        <v>150</v>
      </c>
      <c r="P27">
        <v>272</v>
      </c>
    </row>
    <row r="28" spans="1:16" x14ac:dyDescent="0.35">
      <c r="B28">
        <v>0.8</v>
      </c>
      <c r="C28">
        <v>0</v>
      </c>
      <c r="D28">
        <v>0</v>
      </c>
      <c r="E28" s="2" t="s">
        <v>32</v>
      </c>
      <c r="F28" s="2" t="s">
        <v>32</v>
      </c>
      <c r="G28" s="4">
        <v>25019.918109999999</v>
      </c>
      <c r="H28" s="2">
        <v>25028.611270000001</v>
      </c>
      <c r="I28" s="2">
        <v>24180.91</v>
      </c>
      <c r="J28" s="1" t="s">
        <v>32</v>
      </c>
      <c r="K28" t="s">
        <v>32</v>
      </c>
      <c r="L28" s="2">
        <v>1800.6381730000001</v>
      </c>
      <c r="M28" t="s">
        <v>32</v>
      </c>
      <c r="N28" s="2">
        <v>1800.6858070000001</v>
      </c>
      <c r="O28">
        <v>150</v>
      </c>
      <c r="P28">
        <v>180</v>
      </c>
    </row>
    <row r="29" spans="1:16" x14ac:dyDescent="0.35">
      <c r="C29">
        <f>SUM(C2:C28)</f>
        <v>3</v>
      </c>
      <c r="D29">
        <f>SUM(D2:D28)</f>
        <v>29</v>
      </c>
      <c r="J29" s="1">
        <f>AVERAGE(J2:J28)</f>
        <v>1.097198918698794</v>
      </c>
      <c r="M29" s="2">
        <f>AVERAGE(M2:M28)</f>
        <v>61.397181015695651</v>
      </c>
      <c r="N29" s="2">
        <f>AVERAGE(N2:N28)</f>
        <v>1663.1170643825928</v>
      </c>
      <c r="O29" s="1">
        <f t="shared" ref="O29:P29" si="1">AVERAGE(O2:O28)</f>
        <v>66</v>
      </c>
      <c r="P29" s="1">
        <f t="shared" si="1"/>
        <v>116.33333333333333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551D-C505-4854-8FF2-B91C3C813660}">
  <dimension ref="A1:L29"/>
  <sheetViews>
    <sheetView tabSelected="1" workbookViewId="0">
      <selection activeCell="I14" sqref="I14"/>
    </sheetView>
  </sheetViews>
  <sheetFormatPr defaultRowHeight="14.5" x14ac:dyDescent="0.35"/>
  <cols>
    <col min="5" max="5" width="10.90625" bestFit="1" customWidth="1"/>
    <col min="7" max="8" width="10.90625" bestFit="1" customWidth="1"/>
    <col min="9" max="9" width="9.26953125" bestFit="1" customWidth="1"/>
    <col min="10" max="10" width="9.90625" bestFit="1" customWidth="1"/>
  </cols>
  <sheetData>
    <row r="1" spans="1:12" x14ac:dyDescent="0.35">
      <c r="A1" t="s">
        <v>0</v>
      </c>
      <c r="B1" t="s">
        <v>3</v>
      </c>
      <c r="C1" t="s">
        <v>24</v>
      </c>
      <c r="D1" t="s">
        <v>25</v>
      </c>
      <c r="E1" t="s">
        <v>9</v>
      </c>
      <c r="F1" t="s">
        <v>31</v>
      </c>
      <c r="G1" t="s">
        <v>8</v>
      </c>
      <c r="H1" t="s">
        <v>11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5">
      <c r="A2">
        <v>2</v>
      </c>
      <c r="B2">
        <v>0.3</v>
      </c>
      <c r="C2" s="2">
        <v>51.378</v>
      </c>
      <c r="D2" s="2">
        <v>51.378</v>
      </c>
      <c r="E2" s="2">
        <v>56.284999999999997</v>
      </c>
      <c r="F2" s="1">
        <f>E2/MAX(C2,D2)</f>
        <v>1.0955078048970375</v>
      </c>
      <c r="G2" s="2">
        <v>51.378</v>
      </c>
      <c r="H2" s="2">
        <v>51.378</v>
      </c>
      <c r="I2" s="2">
        <v>0.38241076499999999</v>
      </c>
      <c r="J2" s="2">
        <v>1.5540957449999999</v>
      </c>
      <c r="K2">
        <v>3</v>
      </c>
      <c r="L2">
        <v>3</v>
      </c>
    </row>
    <row r="3" spans="1:12" x14ac:dyDescent="0.35">
      <c r="B3">
        <v>0.5</v>
      </c>
      <c r="C3" s="2">
        <v>83.835999999999999</v>
      </c>
      <c r="D3" s="2">
        <v>83.835999999999999</v>
      </c>
      <c r="E3" s="2">
        <v>86.602999999999994</v>
      </c>
      <c r="F3" s="1">
        <f t="shared" ref="F3:F18" si="0">E3/MAX(C3,D3)</f>
        <v>1.0330049143566009</v>
      </c>
      <c r="G3" s="5">
        <v>83.835999999999999</v>
      </c>
      <c r="H3" s="5">
        <v>86.034999999999997</v>
      </c>
      <c r="I3" s="2">
        <v>0.81990289699999996</v>
      </c>
      <c r="J3" s="2">
        <v>58.750393389999999</v>
      </c>
      <c r="K3">
        <v>3</v>
      </c>
      <c r="L3">
        <v>2</v>
      </c>
    </row>
    <row r="4" spans="1:12" x14ac:dyDescent="0.35">
      <c r="B4">
        <v>0.8</v>
      </c>
      <c r="C4" s="2">
        <v>92.113</v>
      </c>
      <c r="D4" s="2">
        <v>91.432000000000002</v>
      </c>
      <c r="E4" s="2">
        <v>95.244</v>
      </c>
      <c r="F4" s="1">
        <f t="shared" si="0"/>
        <v>1.0339908590535538</v>
      </c>
      <c r="G4" s="5">
        <v>92.766000000000005</v>
      </c>
      <c r="H4" s="5">
        <v>94.344999999999999</v>
      </c>
      <c r="I4" s="2">
        <v>0.96815657600000005</v>
      </c>
      <c r="J4" s="2">
        <v>5.5995395180000003</v>
      </c>
      <c r="K4">
        <v>3</v>
      </c>
      <c r="L4">
        <v>2</v>
      </c>
    </row>
    <row r="5" spans="1:12" x14ac:dyDescent="0.35">
      <c r="A5">
        <v>3</v>
      </c>
      <c r="B5">
        <v>0.3</v>
      </c>
      <c r="C5" s="2">
        <v>114.985</v>
      </c>
      <c r="D5" s="2">
        <v>114.985</v>
      </c>
      <c r="E5" s="2">
        <v>139.71299999999999</v>
      </c>
      <c r="F5" s="1">
        <f t="shared" si="0"/>
        <v>1.2150541374961952</v>
      </c>
      <c r="G5" s="5">
        <v>114.985</v>
      </c>
      <c r="H5" s="5">
        <v>114.985</v>
      </c>
      <c r="I5" s="2">
        <v>0.70835518799999997</v>
      </c>
      <c r="J5" s="2">
        <v>12.09222984</v>
      </c>
      <c r="K5">
        <v>4</v>
      </c>
      <c r="L5">
        <v>4</v>
      </c>
    </row>
    <row r="6" spans="1:12" x14ac:dyDescent="0.35">
      <c r="B6">
        <v>0.5</v>
      </c>
      <c r="C6" s="2">
        <v>178.58099999999999</v>
      </c>
      <c r="D6" s="2">
        <v>178.34800000000001</v>
      </c>
      <c r="E6" s="2">
        <v>200.32900000000001</v>
      </c>
      <c r="F6" s="1">
        <f t="shared" si="0"/>
        <v>1.1217822724701958</v>
      </c>
      <c r="G6" s="5">
        <v>178.58099999999999</v>
      </c>
      <c r="H6" s="5">
        <v>196.69399999999999</v>
      </c>
      <c r="I6" s="2">
        <v>0.69920301399999996</v>
      </c>
      <c r="J6" s="2">
        <v>301.47683860000001</v>
      </c>
      <c r="K6">
        <v>4</v>
      </c>
      <c r="L6">
        <v>4</v>
      </c>
    </row>
    <row r="7" spans="1:12" x14ac:dyDescent="0.35">
      <c r="B7">
        <v>0.8</v>
      </c>
      <c r="C7" s="2">
        <v>252.196</v>
      </c>
      <c r="D7" s="2">
        <v>252.196</v>
      </c>
      <c r="E7" s="2">
        <v>253.66200000000001</v>
      </c>
      <c r="F7" s="1">
        <f t="shared" si="0"/>
        <v>1.0058129391425716</v>
      </c>
      <c r="G7" s="5">
        <v>252.196</v>
      </c>
      <c r="H7" s="5">
        <v>257.815</v>
      </c>
      <c r="I7" s="2">
        <v>0.78371405599999999</v>
      </c>
      <c r="J7" s="2">
        <v>301.78843430000001</v>
      </c>
      <c r="K7">
        <v>4</v>
      </c>
      <c r="L7">
        <v>6</v>
      </c>
    </row>
    <row r="8" spans="1:12" x14ac:dyDescent="0.35">
      <c r="A8">
        <v>5</v>
      </c>
      <c r="B8">
        <v>0.3</v>
      </c>
      <c r="C8" s="2">
        <v>380.00200000000001</v>
      </c>
      <c r="D8" s="2">
        <v>380.00200000000001</v>
      </c>
      <c r="E8" s="2">
        <v>399.77100000000002</v>
      </c>
      <c r="F8" s="1">
        <f t="shared" si="0"/>
        <v>1.0520234104031032</v>
      </c>
      <c r="G8" s="5">
        <v>380.00200000000001</v>
      </c>
      <c r="H8" s="5">
        <v>380.036</v>
      </c>
      <c r="I8" s="2">
        <v>1.749832869</v>
      </c>
      <c r="J8" s="2">
        <v>303.46227169999997</v>
      </c>
      <c r="K8">
        <v>3</v>
      </c>
      <c r="L8">
        <v>3</v>
      </c>
    </row>
    <row r="9" spans="1:12" x14ac:dyDescent="0.35">
      <c r="B9">
        <v>0.5</v>
      </c>
      <c r="C9" s="2">
        <v>557.55200000000002</v>
      </c>
      <c r="D9" s="2">
        <v>557.55200000000002</v>
      </c>
      <c r="E9" s="2">
        <v>577.33500000000004</v>
      </c>
      <c r="F9" s="1">
        <f t="shared" si="0"/>
        <v>1.0354818922719315</v>
      </c>
      <c r="G9" s="5">
        <v>557.55200000000002</v>
      </c>
      <c r="H9" s="5">
        <v>618.45781999999997</v>
      </c>
      <c r="I9" s="2">
        <v>1.736923456</v>
      </c>
      <c r="J9" s="2">
        <v>303.05028609999999</v>
      </c>
      <c r="K9">
        <v>3</v>
      </c>
      <c r="L9">
        <v>3</v>
      </c>
    </row>
    <row r="10" spans="1:12" x14ac:dyDescent="0.35">
      <c r="B10">
        <v>0.8</v>
      </c>
      <c r="C10" s="2">
        <v>650.149</v>
      </c>
      <c r="D10" s="2">
        <v>650.149</v>
      </c>
      <c r="E10" s="2">
        <v>661.93</v>
      </c>
      <c r="F10" s="1">
        <f t="shared" si="0"/>
        <v>1.0181204616172599</v>
      </c>
      <c r="G10" s="5">
        <v>650.149</v>
      </c>
      <c r="H10" s="5">
        <v>677.50858189999997</v>
      </c>
      <c r="I10" s="2">
        <v>2.1322140690000002</v>
      </c>
      <c r="J10" s="2">
        <v>303.90834210000003</v>
      </c>
      <c r="K10">
        <v>4</v>
      </c>
      <c r="L10">
        <v>4</v>
      </c>
    </row>
    <row r="11" spans="1:12" x14ac:dyDescent="0.35">
      <c r="A11">
        <v>8</v>
      </c>
      <c r="B11">
        <v>0.3</v>
      </c>
      <c r="C11" s="2">
        <v>862.11</v>
      </c>
      <c r="D11" s="2">
        <v>862.11</v>
      </c>
      <c r="E11" s="2">
        <v>995.78099999999995</v>
      </c>
      <c r="F11" s="1">
        <f t="shared" si="0"/>
        <v>1.1550509795733723</v>
      </c>
      <c r="G11" s="5">
        <v>862.11</v>
      </c>
      <c r="H11" s="5">
        <v>980.4333858</v>
      </c>
      <c r="I11" s="2">
        <v>5.2363445759999996</v>
      </c>
      <c r="J11" s="2">
        <v>309.4018102</v>
      </c>
      <c r="K11">
        <v>4</v>
      </c>
      <c r="L11">
        <v>4</v>
      </c>
    </row>
    <row r="12" spans="1:12" x14ac:dyDescent="0.35">
      <c r="B12">
        <v>0.5</v>
      </c>
      <c r="C12" s="2">
        <v>1214.5029999999999</v>
      </c>
      <c r="D12" s="2">
        <v>1214.5029999999999</v>
      </c>
      <c r="E12" s="2">
        <v>1387.8589999999999</v>
      </c>
      <c r="F12" s="1">
        <f t="shared" si="0"/>
        <v>1.1427382229603384</v>
      </c>
      <c r="G12" s="5">
        <v>1214.5029999999999</v>
      </c>
      <c r="H12" s="5">
        <v>1535.099105</v>
      </c>
      <c r="I12" s="2">
        <v>5.5670685769999997</v>
      </c>
      <c r="J12" s="2">
        <v>309.16465399999998</v>
      </c>
      <c r="K12">
        <v>4</v>
      </c>
      <c r="L12">
        <v>4</v>
      </c>
    </row>
    <row r="13" spans="1:12" x14ac:dyDescent="0.35">
      <c r="B13">
        <v>0.8</v>
      </c>
      <c r="C13" s="2">
        <v>1661.53</v>
      </c>
      <c r="D13" s="2">
        <v>1661.53</v>
      </c>
      <c r="E13" s="2">
        <v>1721.046</v>
      </c>
      <c r="F13" s="1">
        <f t="shared" si="0"/>
        <v>1.0358199972314674</v>
      </c>
      <c r="G13" s="5">
        <v>1661.53</v>
      </c>
      <c r="H13" s="5">
        <v>1771.299444</v>
      </c>
      <c r="I13" s="2">
        <v>6.0778439039999999</v>
      </c>
      <c r="J13" s="2">
        <v>309.34178850000001</v>
      </c>
      <c r="K13">
        <v>4</v>
      </c>
      <c r="L13">
        <v>6</v>
      </c>
    </row>
    <row r="14" spans="1:12" x14ac:dyDescent="0.35">
      <c r="A14">
        <v>10</v>
      </c>
      <c r="B14">
        <v>0.3</v>
      </c>
      <c r="C14" s="2">
        <v>1265.163</v>
      </c>
      <c r="D14" s="2">
        <v>1265.163</v>
      </c>
      <c r="E14" s="2">
        <v>1521.569</v>
      </c>
      <c r="F14" s="1">
        <f t="shared" si="0"/>
        <v>1.2026663757950555</v>
      </c>
      <c r="G14" s="5">
        <v>1265.163</v>
      </c>
      <c r="H14" s="5">
        <v>1526.509362</v>
      </c>
      <c r="I14" s="2">
        <v>8.0454599859999991</v>
      </c>
      <c r="J14" s="2">
        <v>319.58905959999998</v>
      </c>
      <c r="K14">
        <v>3</v>
      </c>
      <c r="L14">
        <v>13</v>
      </c>
    </row>
    <row r="15" spans="1:12" x14ac:dyDescent="0.35">
      <c r="B15">
        <v>0.5</v>
      </c>
      <c r="C15" s="2">
        <v>2084.1790000000001</v>
      </c>
      <c r="D15" s="2">
        <v>2084.1790000000001</v>
      </c>
      <c r="E15" s="2">
        <v>2253.9450000000002</v>
      </c>
      <c r="F15" s="1">
        <f t="shared" si="0"/>
        <v>1.0814546159422966</v>
      </c>
      <c r="G15" s="5">
        <v>2083.1860000000001</v>
      </c>
      <c r="H15" s="5">
        <v>2635.7204999999999</v>
      </c>
      <c r="I15" s="2">
        <v>8.7396214010000008</v>
      </c>
      <c r="J15" s="2">
        <v>315.4818368</v>
      </c>
      <c r="K15">
        <v>4</v>
      </c>
      <c r="L15">
        <v>5</v>
      </c>
    </row>
    <row r="16" spans="1:12" x14ac:dyDescent="0.35">
      <c r="B16">
        <v>0.8</v>
      </c>
      <c r="C16" s="2">
        <v>2612.3319999999999</v>
      </c>
      <c r="D16" s="2">
        <v>2612.3319999999999</v>
      </c>
      <c r="E16" s="2">
        <v>2685.2069999999999</v>
      </c>
      <c r="F16" s="1">
        <f t="shared" si="0"/>
        <v>1.0278965307625525</v>
      </c>
      <c r="G16" s="5">
        <v>2612.3319999999999</v>
      </c>
      <c r="H16" s="5">
        <v>2757.3106439999997</v>
      </c>
      <c r="I16" s="2">
        <v>9.3742952349999999</v>
      </c>
      <c r="J16" s="2">
        <v>318.58108590000001</v>
      </c>
      <c r="K16">
        <v>5</v>
      </c>
      <c r="L16">
        <v>9</v>
      </c>
    </row>
    <row r="17" spans="1:12" x14ac:dyDescent="0.35">
      <c r="A17">
        <v>15</v>
      </c>
      <c r="B17">
        <v>0.3</v>
      </c>
      <c r="C17" s="2">
        <v>2916.375</v>
      </c>
      <c r="D17" s="2">
        <v>2916.375</v>
      </c>
      <c r="E17" s="2">
        <v>3440.1909999999998</v>
      </c>
      <c r="F17" s="1">
        <f t="shared" si="0"/>
        <v>1.1796120183446916</v>
      </c>
      <c r="G17" s="5">
        <v>2916.375</v>
      </c>
      <c r="H17" s="5">
        <v>3523.7218520000001</v>
      </c>
      <c r="I17" s="2">
        <v>19.475026369999998</v>
      </c>
      <c r="J17" s="2">
        <v>328.95643810000001</v>
      </c>
      <c r="K17">
        <v>4</v>
      </c>
      <c r="L17">
        <v>4</v>
      </c>
    </row>
    <row r="18" spans="1:12" x14ac:dyDescent="0.35">
      <c r="B18">
        <v>0.5</v>
      </c>
      <c r="C18" s="2">
        <v>4476.8289999999997</v>
      </c>
      <c r="D18" s="2">
        <v>4476.8289999999997</v>
      </c>
      <c r="E18" s="2">
        <v>5030.076</v>
      </c>
      <c r="F18" s="1">
        <f t="shared" si="0"/>
        <v>1.1235801054719758</v>
      </c>
      <c r="G18" s="5">
        <v>4476.8289999999997</v>
      </c>
      <c r="H18" s="5">
        <v>5750.6701149999999</v>
      </c>
      <c r="I18" s="2">
        <v>29.310947420000002</v>
      </c>
      <c r="J18" s="2">
        <v>337.92612930000001</v>
      </c>
      <c r="K18">
        <v>6</v>
      </c>
      <c r="L18">
        <v>5</v>
      </c>
    </row>
    <row r="19" spans="1:12" x14ac:dyDescent="0.35">
      <c r="B19">
        <v>0.8</v>
      </c>
      <c r="C19" s="1" t="s">
        <v>32</v>
      </c>
      <c r="D19" s="5" t="s">
        <v>32</v>
      </c>
      <c r="E19" s="2">
        <v>6206.3389999999999</v>
      </c>
      <c r="F19" s="1" t="s">
        <v>32</v>
      </c>
      <c r="G19" s="5" t="s">
        <v>32</v>
      </c>
      <c r="H19" s="5">
        <v>6428.6916600000004</v>
      </c>
      <c r="I19" s="2">
        <v>402.89937279999998</v>
      </c>
      <c r="J19" s="2">
        <v>687.55684970000004</v>
      </c>
      <c r="K19">
        <v>200</v>
      </c>
      <c r="L19">
        <v>200</v>
      </c>
    </row>
    <row r="20" spans="1:12" x14ac:dyDescent="0.35">
      <c r="A20">
        <v>20</v>
      </c>
      <c r="B20">
        <v>0.3</v>
      </c>
      <c r="C20" s="2">
        <v>5373.5720000000001</v>
      </c>
      <c r="D20" s="2">
        <v>5373.5720000000001</v>
      </c>
      <c r="E20" s="2">
        <v>6284.192</v>
      </c>
      <c r="F20" s="1">
        <f t="shared" ref="F20" si="1">E20/MAX(C20,D20)</f>
        <v>1.1694626963219252</v>
      </c>
      <c r="G20" s="5">
        <v>5373.5720000000001</v>
      </c>
      <c r="H20" s="5">
        <v>6483.057084</v>
      </c>
      <c r="I20" s="2">
        <v>44.939062120000003</v>
      </c>
      <c r="J20" s="2">
        <v>366.4424138</v>
      </c>
      <c r="K20">
        <v>5</v>
      </c>
      <c r="L20">
        <v>4</v>
      </c>
    </row>
    <row r="21" spans="1:12" x14ac:dyDescent="0.35">
      <c r="B21">
        <v>0.5</v>
      </c>
      <c r="C21" s="1" t="s">
        <v>32</v>
      </c>
      <c r="D21" s="5" t="s">
        <v>32</v>
      </c>
      <c r="E21" s="2">
        <v>9019.3619999999992</v>
      </c>
      <c r="F21" s="1" t="s">
        <v>32</v>
      </c>
      <c r="G21" s="5" t="s">
        <v>32</v>
      </c>
      <c r="H21" s="5">
        <v>11452.547</v>
      </c>
      <c r="I21" s="2">
        <v>874.94525309999995</v>
      </c>
      <c r="J21" s="2">
        <v>1195.144616</v>
      </c>
      <c r="K21">
        <v>200</v>
      </c>
      <c r="L21">
        <v>200</v>
      </c>
    </row>
    <row r="22" spans="1:12" x14ac:dyDescent="0.35">
      <c r="B22">
        <v>0.8</v>
      </c>
      <c r="C22" s="2">
        <v>10149.251</v>
      </c>
      <c r="D22" s="2">
        <v>10149.677</v>
      </c>
      <c r="E22" s="2">
        <v>10510.8</v>
      </c>
      <c r="F22" s="1">
        <f t="shared" ref="F22:F24" si="2">E22/MAX(C22,D22)</f>
        <v>1.0355797529320392</v>
      </c>
      <c r="G22" s="5">
        <v>10149.677</v>
      </c>
      <c r="H22" s="5">
        <v>10858.17756</v>
      </c>
      <c r="I22" s="2">
        <v>45.686182260000002</v>
      </c>
      <c r="J22" s="2">
        <v>377.61362810000003</v>
      </c>
      <c r="K22">
        <v>4</v>
      </c>
      <c r="L22">
        <v>6</v>
      </c>
    </row>
    <row r="23" spans="1:12" x14ac:dyDescent="0.35">
      <c r="A23">
        <v>25</v>
      </c>
      <c r="B23">
        <v>0.3</v>
      </c>
      <c r="C23" s="2">
        <v>8023.8620000000001</v>
      </c>
      <c r="D23" s="2">
        <v>8023.8620000000001</v>
      </c>
      <c r="E23" s="2">
        <v>9502.9240000000009</v>
      </c>
      <c r="F23" s="1">
        <f t="shared" si="2"/>
        <v>1.1843329309502084</v>
      </c>
      <c r="G23" s="5">
        <v>8023.8620000000001</v>
      </c>
      <c r="H23" s="5">
        <v>17369.583999999999</v>
      </c>
      <c r="I23" s="2">
        <v>51.763733629999997</v>
      </c>
      <c r="J23" s="2">
        <v>394.25314040000001</v>
      </c>
      <c r="K23">
        <v>3</v>
      </c>
      <c r="L23">
        <v>4</v>
      </c>
    </row>
    <row r="24" spans="1:12" x14ac:dyDescent="0.35">
      <c r="B24">
        <v>0.5</v>
      </c>
      <c r="C24" s="2">
        <v>12640.74</v>
      </c>
      <c r="D24" s="2">
        <v>12640.74</v>
      </c>
      <c r="E24" s="2">
        <v>13936.012000000001</v>
      </c>
      <c r="F24" s="1">
        <f t="shared" si="2"/>
        <v>1.1024680517121626</v>
      </c>
      <c r="G24" s="5">
        <v>12640.74</v>
      </c>
      <c r="H24" s="5">
        <v>17424.141</v>
      </c>
      <c r="I24" s="2">
        <v>77.678566219999993</v>
      </c>
      <c r="J24" s="2">
        <v>417.08841419999999</v>
      </c>
      <c r="K24">
        <v>4</v>
      </c>
      <c r="L24">
        <v>4</v>
      </c>
    </row>
    <row r="25" spans="1:12" x14ac:dyDescent="0.35">
      <c r="B25">
        <v>0.8</v>
      </c>
      <c r="C25" s="1" t="s">
        <v>32</v>
      </c>
      <c r="D25" s="5" t="s">
        <v>32</v>
      </c>
      <c r="E25" s="2">
        <v>16806.066999999999</v>
      </c>
      <c r="F25" s="1" t="s">
        <v>32</v>
      </c>
      <c r="G25" s="5" t="s">
        <v>32</v>
      </c>
      <c r="H25" s="5">
        <v>17521.461019999999</v>
      </c>
      <c r="I25" s="2">
        <v>1789.4021789999999</v>
      </c>
      <c r="J25" s="2">
        <v>1949.081263</v>
      </c>
      <c r="K25">
        <v>200</v>
      </c>
      <c r="L25">
        <v>200</v>
      </c>
    </row>
    <row r="26" spans="1:12" x14ac:dyDescent="0.35">
      <c r="A26">
        <v>30</v>
      </c>
      <c r="B26">
        <v>0.3</v>
      </c>
      <c r="C26" s="2">
        <v>11151.409</v>
      </c>
      <c r="D26" s="2">
        <v>11151.409</v>
      </c>
      <c r="E26" s="2">
        <v>13520.237999999999</v>
      </c>
      <c r="F26" s="1">
        <f t="shared" ref="F26:F27" si="3">E26/MAX(C26,D26)</f>
        <v>1.2124241878313313</v>
      </c>
      <c r="G26" s="5">
        <v>11151.409</v>
      </c>
      <c r="H26" s="5">
        <v>24217.329000000002</v>
      </c>
      <c r="I26" s="2">
        <v>119.5948532</v>
      </c>
      <c r="J26" s="2">
        <v>460.19168309999998</v>
      </c>
      <c r="K26">
        <v>5</v>
      </c>
      <c r="L26">
        <v>4</v>
      </c>
    </row>
    <row r="27" spans="1:12" x14ac:dyDescent="0.35">
      <c r="B27">
        <v>0.5</v>
      </c>
      <c r="C27" s="2">
        <v>17342.373</v>
      </c>
      <c r="D27" s="2">
        <v>17342.373</v>
      </c>
      <c r="E27" s="2">
        <v>16969.043000000001</v>
      </c>
      <c r="F27" s="1">
        <f t="shared" si="3"/>
        <v>0.9784729575358575</v>
      </c>
      <c r="G27" s="5">
        <v>17342.373</v>
      </c>
      <c r="H27" s="5">
        <v>25103.437999999998</v>
      </c>
      <c r="I27" s="2">
        <v>146.4595277</v>
      </c>
      <c r="J27" s="2">
        <v>503.77972149999999</v>
      </c>
      <c r="K27">
        <v>6</v>
      </c>
      <c r="L27">
        <v>6</v>
      </c>
    </row>
    <row r="28" spans="1:12" x14ac:dyDescent="0.35">
      <c r="B28">
        <v>0.8</v>
      </c>
      <c r="C28" s="1" t="s">
        <v>32</v>
      </c>
      <c r="D28" s="5" t="s">
        <v>32</v>
      </c>
      <c r="E28" s="2">
        <v>24180.91</v>
      </c>
      <c r="F28" s="1" t="s">
        <v>32</v>
      </c>
      <c r="G28" s="5" t="s">
        <v>32</v>
      </c>
      <c r="H28" s="5">
        <v>25028.611270000001</v>
      </c>
      <c r="I28" s="2">
        <v>2910.7460719999999</v>
      </c>
      <c r="J28" s="2">
        <v>3240.4506230000002</v>
      </c>
      <c r="K28">
        <v>200</v>
      </c>
      <c r="L28">
        <v>200</v>
      </c>
    </row>
    <row r="29" spans="1:12" x14ac:dyDescent="0.35">
      <c r="C29" s="2">
        <f>AVERAGE(C2:C18,C20,C22:C24,C26:C27)</f>
        <v>3658.0443478260863</v>
      </c>
      <c r="D29" s="2">
        <f t="shared" ref="D29:L29" si="4">AVERAGE(D2:D18,D20,D22:D24,D26:D27)</f>
        <v>3658.0231304347831</v>
      </c>
      <c r="E29" s="2">
        <f t="shared" si="4"/>
        <v>4009.9893478260869</v>
      </c>
      <c r="F29" s="1">
        <f t="shared" si="4"/>
        <v>1.0974929615249445</v>
      </c>
      <c r="G29" s="2">
        <f t="shared" si="4"/>
        <v>3658.0480869565217</v>
      </c>
      <c r="H29" s="2">
        <f t="shared" si="4"/>
        <v>5409.2932805956525</v>
      </c>
      <c r="I29" s="2">
        <f t="shared" si="4"/>
        <v>25.562141108217389</v>
      </c>
      <c r="J29" s="2">
        <f t="shared" si="4"/>
        <v>289.54322759969563</v>
      </c>
      <c r="K29" s="2">
        <f t="shared" si="4"/>
        <v>4</v>
      </c>
      <c r="L29" s="2">
        <f t="shared" si="4"/>
        <v>4.7391304347826084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29B1-A069-403B-89EC-FAC30AB3A789}">
  <dimension ref="A1:AE28"/>
  <sheetViews>
    <sheetView workbookViewId="0">
      <selection activeCell="C59" sqref="C59"/>
    </sheetView>
  </sheetViews>
  <sheetFormatPr defaultRowHeight="14.5" x14ac:dyDescent="0.35"/>
  <sheetData>
    <row r="1" spans="1:3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35">
      <c r="A2" t="s">
        <v>30</v>
      </c>
      <c r="B2">
        <v>2</v>
      </c>
      <c r="C2">
        <v>100</v>
      </c>
      <c r="D2">
        <v>83</v>
      </c>
      <c r="E2">
        <v>0.3</v>
      </c>
      <c r="F2">
        <v>24</v>
      </c>
      <c r="G2">
        <v>51378</v>
      </c>
      <c r="H2">
        <v>51378</v>
      </c>
      <c r="I2">
        <v>51378</v>
      </c>
      <c r="J2">
        <v>51378</v>
      </c>
      <c r="K2">
        <v>56285</v>
      </c>
      <c r="L2">
        <v>51378</v>
      </c>
      <c r="M2">
        <v>51378</v>
      </c>
      <c r="N2">
        <v>12</v>
      </c>
      <c r="O2">
        <v>19</v>
      </c>
      <c r="P2">
        <v>11</v>
      </c>
      <c r="Q2">
        <v>8</v>
      </c>
      <c r="R2">
        <v>9.6648380760000006</v>
      </c>
      <c r="S2">
        <v>9.8208465579999995</v>
      </c>
      <c r="T2">
        <v>0.80282044399999997</v>
      </c>
      <c r="U2">
        <v>12.76547313</v>
      </c>
      <c r="V2">
        <v>1</v>
      </c>
      <c r="W2">
        <v>1</v>
      </c>
      <c r="X2">
        <v>2</v>
      </c>
      <c r="Y2">
        <v>2</v>
      </c>
      <c r="Z2">
        <v>51378</v>
      </c>
      <c r="AA2">
        <v>51378</v>
      </c>
      <c r="AB2">
        <v>0.38241076499999999</v>
      </c>
      <c r="AC2">
        <v>1.5540957449999999</v>
      </c>
      <c r="AD2">
        <v>3</v>
      </c>
      <c r="AE2">
        <v>3</v>
      </c>
    </row>
    <row r="3" spans="1:31" x14ac:dyDescent="0.35">
      <c r="A3" t="s">
        <v>30</v>
      </c>
      <c r="B3">
        <v>2</v>
      </c>
      <c r="C3">
        <v>100</v>
      </c>
      <c r="D3">
        <v>93</v>
      </c>
      <c r="E3">
        <v>0.5</v>
      </c>
      <c r="F3">
        <v>46</v>
      </c>
      <c r="H3">
        <v>0</v>
      </c>
      <c r="I3">
        <v>83836</v>
      </c>
      <c r="J3">
        <v>83836</v>
      </c>
      <c r="K3">
        <v>86603</v>
      </c>
      <c r="L3">
        <v>85746</v>
      </c>
      <c r="M3">
        <v>86035</v>
      </c>
      <c r="N3">
        <v>11</v>
      </c>
      <c r="O3">
        <v>20</v>
      </c>
      <c r="P3">
        <v>11</v>
      </c>
      <c r="Q3">
        <v>9</v>
      </c>
      <c r="S3">
        <v>1800.262291</v>
      </c>
      <c r="T3">
        <v>1.403070211</v>
      </c>
      <c r="U3">
        <v>1800.097626</v>
      </c>
      <c r="V3">
        <v>0</v>
      </c>
      <c r="W3">
        <v>1</v>
      </c>
      <c r="X3">
        <v>9</v>
      </c>
      <c r="Y3">
        <v>9</v>
      </c>
      <c r="Z3">
        <v>83836</v>
      </c>
      <c r="AA3">
        <v>83836</v>
      </c>
      <c r="AB3">
        <v>0.81990289699999996</v>
      </c>
      <c r="AC3">
        <v>58.750393389999999</v>
      </c>
      <c r="AD3">
        <v>3</v>
      </c>
      <c r="AE3">
        <v>2</v>
      </c>
    </row>
    <row r="4" spans="1:31" x14ac:dyDescent="0.35">
      <c r="A4" t="s">
        <v>30</v>
      </c>
      <c r="B4">
        <v>2</v>
      </c>
      <c r="C4">
        <v>100</v>
      </c>
      <c r="D4">
        <v>80</v>
      </c>
      <c r="E4">
        <v>0.8</v>
      </c>
      <c r="F4">
        <v>64</v>
      </c>
      <c r="H4">
        <v>0</v>
      </c>
      <c r="I4">
        <v>92663</v>
      </c>
      <c r="J4">
        <v>92766</v>
      </c>
      <c r="K4">
        <v>95244</v>
      </c>
      <c r="L4">
        <v>94099</v>
      </c>
      <c r="M4">
        <v>94345</v>
      </c>
      <c r="N4">
        <v>14</v>
      </c>
      <c r="O4">
        <v>26</v>
      </c>
      <c r="P4">
        <v>14</v>
      </c>
      <c r="Q4">
        <v>12</v>
      </c>
      <c r="S4">
        <v>1800.119338</v>
      </c>
      <c r="T4">
        <v>2.1070227620000002</v>
      </c>
      <c r="U4">
        <v>1800.1450769999999</v>
      </c>
      <c r="V4">
        <v>0</v>
      </c>
      <c r="W4">
        <v>6</v>
      </c>
      <c r="X4">
        <v>9</v>
      </c>
      <c r="Y4">
        <v>9</v>
      </c>
      <c r="Z4">
        <v>92113</v>
      </c>
      <c r="AA4">
        <v>91432</v>
      </c>
      <c r="AB4">
        <v>0.96815657600000005</v>
      </c>
      <c r="AC4">
        <v>5.5995395180000003</v>
      </c>
      <c r="AD4">
        <v>3</v>
      </c>
      <c r="AE4">
        <v>2</v>
      </c>
    </row>
    <row r="5" spans="1:31" x14ac:dyDescent="0.35">
      <c r="A5" t="s">
        <v>30</v>
      </c>
      <c r="B5">
        <v>3</v>
      </c>
      <c r="C5">
        <v>150</v>
      </c>
      <c r="D5">
        <v>136</v>
      </c>
      <c r="E5">
        <v>0.3</v>
      </c>
      <c r="F5">
        <v>40</v>
      </c>
      <c r="G5">
        <v>114985</v>
      </c>
      <c r="H5">
        <v>114985</v>
      </c>
      <c r="I5">
        <v>114985</v>
      </c>
      <c r="J5">
        <v>114985</v>
      </c>
      <c r="K5">
        <v>139713</v>
      </c>
      <c r="L5">
        <v>114985</v>
      </c>
      <c r="M5">
        <v>114985</v>
      </c>
      <c r="N5">
        <v>18</v>
      </c>
      <c r="O5">
        <v>29</v>
      </c>
      <c r="P5">
        <v>17</v>
      </c>
      <c r="Q5">
        <v>12</v>
      </c>
      <c r="R5">
        <v>1423.3550829999999</v>
      </c>
      <c r="S5">
        <v>1423.653779</v>
      </c>
      <c r="T5">
        <v>1.9232392309999999</v>
      </c>
      <c r="U5">
        <v>1040.0817950000001</v>
      </c>
      <c r="V5">
        <v>1</v>
      </c>
      <c r="W5">
        <v>1</v>
      </c>
      <c r="X5">
        <v>2</v>
      </c>
      <c r="Y5">
        <v>2</v>
      </c>
      <c r="Z5">
        <v>114985</v>
      </c>
      <c r="AA5">
        <v>114985</v>
      </c>
      <c r="AB5">
        <v>0.70835518799999997</v>
      </c>
      <c r="AC5">
        <v>12.09222984</v>
      </c>
      <c r="AD5">
        <v>4</v>
      </c>
      <c r="AE5">
        <v>4</v>
      </c>
    </row>
    <row r="6" spans="1:31" x14ac:dyDescent="0.35">
      <c r="A6" t="s">
        <v>30</v>
      </c>
      <c r="B6">
        <v>3</v>
      </c>
      <c r="C6">
        <v>150</v>
      </c>
      <c r="D6">
        <v>128</v>
      </c>
      <c r="E6">
        <v>0.5</v>
      </c>
      <c r="F6">
        <v>63</v>
      </c>
      <c r="H6">
        <v>0</v>
      </c>
      <c r="I6">
        <v>178581</v>
      </c>
      <c r="J6">
        <v>178581</v>
      </c>
      <c r="K6">
        <v>200329</v>
      </c>
      <c r="L6">
        <v>197947.8412</v>
      </c>
      <c r="M6">
        <v>196694</v>
      </c>
      <c r="N6">
        <v>15</v>
      </c>
      <c r="O6">
        <v>29</v>
      </c>
      <c r="P6">
        <v>15</v>
      </c>
      <c r="Q6">
        <v>14</v>
      </c>
      <c r="S6">
        <v>1800.369021</v>
      </c>
      <c r="T6">
        <v>2.285215139</v>
      </c>
      <c r="U6">
        <v>1800.461632</v>
      </c>
      <c r="V6">
        <v>0</v>
      </c>
      <c r="W6">
        <v>2</v>
      </c>
      <c r="X6">
        <v>9</v>
      </c>
      <c r="Y6">
        <v>9</v>
      </c>
      <c r="Z6">
        <v>178581</v>
      </c>
      <c r="AA6">
        <v>178348</v>
      </c>
      <c r="AB6">
        <v>0.69920301399999996</v>
      </c>
      <c r="AC6">
        <v>301.47683860000001</v>
      </c>
      <c r="AD6">
        <v>4</v>
      </c>
      <c r="AE6">
        <v>4</v>
      </c>
    </row>
    <row r="7" spans="1:31" x14ac:dyDescent="0.35">
      <c r="A7" t="s">
        <v>30</v>
      </c>
      <c r="B7">
        <v>3</v>
      </c>
      <c r="C7">
        <v>150</v>
      </c>
      <c r="D7">
        <v>139</v>
      </c>
      <c r="E7">
        <v>0.8</v>
      </c>
      <c r="F7">
        <v>110</v>
      </c>
      <c r="H7">
        <v>0</v>
      </c>
      <c r="I7">
        <v>252196</v>
      </c>
      <c r="J7">
        <v>252196</v>
      </c>
      <c r="K7">
        <v>253662</v>
      </c>
      <c r="L7">
        <v>257707</v>
      </c>
      <c r="M7">
        <v>257815</v>
      </c>
      <c r="N7">
        <v>15</v>
      </c>
      <c r="O7">
        <v>32</v>
      </c>
      <c r="P7">
        <v>16</v>
      </c>
      <c r="Q7">
        <v>16</v>
      </c>
      <c r="S7">
        <v>1800.342453</v>
      </c>
      <c r="T7">
        <v>1.923192024</v>
      </c>
      <c r="U7">
        <v>1800.4455009999999</v>
      </c>
      <c r="V7">
        <v>0</v>
      </c>
      <c r="W7">
        <v>1</v>
      </c>
      <c r="X7">
        <v>9</v>
      </c>
      <c r="Y7">
        <v>9</v>
      </c>
      <c r="Z7">
        <v>252196</v>
      </c>
      <c r="AA7">
        <v>252196</v>
      </c>
      <c r="AB7">
        <v>0.78371405599999999</v>
      </c>
      <c r="AC7">
        <v>301.78843430000001</v>
      </c>
      <c r="AD7">
        <v>4</v>
      </c>
      <c r="AE7">
        <v>6</v>
      </c>
    </row>
    <row r="8" spans="1:31" x14ac:dyDescent="0.35">
      <c r="A8" t="s">
        <v>30</v>
      </c>
      <c r="B8">
        <v>5</v>
      </c>
      <c r="C8">
        <v>250</v>
      </c>
      <c r="D8">
        <v>237</v>
      </c>
      <c r="E8">
        <v>0.3</v>
      </c>
      <c r="F8">
        <v>69</v>
      </c>
      <c r="G8">
        <v>380002</v>
      </c>
      <c r="H8">
        <v>380002</v>
      </c>
      <c r="I8">
        <v>380002</v>
      </c>
      <c r="J8">
        <v>380002</v>
      </c>
      <c r="K8">
        <v>399771</v>
      </c>
      <c r="L8">
        <v>380036</v>
      </c>
      <c r="M8">
        <v>380036</v>
      </c>
      <c r="N8">
        <v>28</v>
      </c>
      <c r="O8">
        <v>49</v>
      </c>
      <c r="P8">
        <v>28</v>
      </c>
      <c r="Q8">
        <v>21</v>
      </c>
      <c r="R8">
        <v>489.1957438</v>
      </c>
      <c r="S8">
        <v>665.87365150000005</v>
      </c>
      <c r="T8">
        <v>5.660630941</v>
      </c>
      <c r="U8">
        <v>642.86592819999998</v>
      </c>
      <c r="V8">
        <v>1</v>
      </c>
      <c r="W8">
        <v>1</v>
      </c>
      <c r="X8">
        <v>2</v>
      </c>
      <c r="Y8">
        <v>2</v>
      </c>
      <c r="Z8">
        <v>380002</v>
      </c>
      <c r="AA8">
        <v>380002</v>
      </c>
      <c r="AB8">
        <v>1.749832869</v>
      </c>
      <c r="AC8">
        <v>303.46227169999997</v>
      </c>
      <c r="AD8">
        <v>3</v>
      </c>
      <c r="AE8">
        <v>3</v>
      </c>
    </row>
    <row r="9" spans="1:31" x14ac:dyDescent="0.35">
      <c r="A9" t="s">
        <v>30</v>
      </c>
      <c r="B9">
        <v>5</v>
      </c>
      <c r="C9">
        <v>250</v>
      </c>
      <c r="D9">
        <v>244</v>
      </c>
      <c r="E9">
        <v>0.5</v>
      </c>
      <c r="F9">
        <v>121</v>
      </c>
      <c r="H9">
        <v>0</v>
      </c>
      <c r="I9">
        <v>557552</v>
      </c>
      <c r="J9">
        <v>557552</v>
      </c>
      <c r="K9">
        <v>577335</v>
      </c>
      <c r="L9">
        <v>626742.63970000006</v>
      </c>
      <c r="M9">
        <v>618457.81999999995</v>
      </c>
      <c r="N9">
        <v>25</v>
      </c>
      <c r="O9">
        <v>43</v>
      </c>
      <c r="P9">
        <v>25</v>
      </c>
      <c r="Q9">
        <v>18</v>
      </c>
      <c r="S9">
        <v>1800.290444</v>
      </c>
      <c r="T9">
        <v>5.6352517600000001</v>
      </c>
      <c r="U9">
        <v>1800.0144290000001</v>
      </c>
      <c r="V9">
        <v>0</v>
      </c>
      <c r="W9">
        <v>1</v>
      </c>
      <c r="X9">
        <v>9</v>
      </c>
      <c r="Y9">
        <v>9</v>
      </c>
      <c r="Z9">
        <v>557552</v>
      </c>
      <c r="AA9">
        <v>557552</v>
      </c>
      <c r="AB9">
        <v>1.736923456</v>
      </c>
      <c r="AC9">
        <v>303.05028609999999</v>
      </c>
      <c r="AD9">
        <v>3</v>
      </c>
      <c r="AE9">
        <v>3</v>
      </c>
    </row>
    <row r="10" spans="1:31" x14ac:dyDescent="0.35">
      <c r="A10" t="s">
        <v>30</v>
      </c>
      <c r="B10">
        <v>5</v>
      </c>
      <c r="C10">
        <v>250</v>
      </c>
      <c r="D10">
        <v>233</v>
      </c>
      <c r="E10">
        <v>0.8</v>
      </c>
      <c r="F10">
        <v>185</v>
      </c>
      <c r="H10">
        <v>0</v>
      </c>
      <c r="I10">
        <v>650149</v>
      </c>
      <c r="J10">
        <v>650149</v>
      </c>
      <c r="K10">
        <v>661930</v>
      </c>
      <c r="L10">
        <v>671136.35699999996</v>
      </c>
      <c r="M10">
        <v>677508.58189999999</v>
      </c>
      <c r="N10">
        <v>25</v>
      </c>
      <c r="O10">
        <v>57</v>
      </c>
      <c r="P10">
        <v>31</v>
      </c>
      <c r="Q10">
        <v>26</v>
      </c>
      <c r="S10">
        <v>1800.662724</v>
      </c>
      <c r="T10">
        <v>5.3580243589999998</v>
      </c>
      <c r="U10">
        <v>1800.5008800000001</v>
      </c>
      <c r="V10">
        <v>0</v>
      </c>
      <c r="W10">
        <v>1</v>
      </c>
      <c r="X10">
        <v>9</v>
      </c>
      <c r="Y10">
        <v>9</v>
      </c>
      <c r="Z10">
        <v>650149</v>
      </c>
      <c r="AA10">
        <v>650149</v>
      </c>
      <c r="AB10">
        <v>2.1322140690000002</v>
      </c>
      <c r="AC10">
        <v>303.90834210000003</v>
      </c>
      <c r="AD10">
        <v>4</v>
      </c>
      <c r="AE10">
        <v>4</v>
      </c>
    </row>
    <row r="11" spans="1:31" x14ac:dyDescent="0.35">
      <c r="A11" t="s">
        <v>30</v>
      </c>
      <c r="B11">
        <v>8</v>
      </c>
      <c r="C11">
        <v>400</v>
      </c>
      <c r="D11">
        <v>373</v>
      </c>
      <c r="E11">
        <v>0.3</v>
      </c>
      <c r="F11">
        <v>109</v>
      </c>
      <c r="H11">
        <v>0</v>
      </c>
      <c r="I11">
        <v>862110</v>
      </c>
      <c r="J11">
        <v>862110</v>
      </c>
      <c r="K11">
        <v>995781</v>
      </c>
      <c r="L11">
        <v>975903.64789999998</v>
      </c>
      <c r="M11">
        <v>980433.38580000005</v>
      </c>
      <c r="N11">
        <v>40</v>
      </c>
      <c r="O11">
        <v>70</v>
      </c>
      <c r="P11">
        <v>41</v>
      </c>
      <c r="Q11">
        <v>29</v>
      </c>
      <c r="S11">
        <v>1800.0683859999999</v>
      </c>
      <c r="T11">
        <v>14.825190539999999</v>
      </c>
      <c r="U11">
        <v>1800.064517</v>
      </c>
      <c r="V11">
        <v>0</v>
      </c>
      <c r="W11">
        <v>1</v>
      </c>
      <c r="X11">
        <v>9</v>
      </c>
      <c r="Y11">
        <v>9</v>
      </c>
      <c r="Z11">
        <v>862110</v>
      </c>
      <c r="AA11">
        <v>862110</v>
      </c>
      <c r="AB11">
        <v>5.2363445759999996</v>
      </c>
      <c r="AC11">
        <v>309.4018102</v>
      </c>
      <c r="AD11">
        <v>4</v>
      </c>
      <c r="AE11">
        <v>4</v>
      </c>
    </row>
    <row r="12" spans="1:31" x14ac:dyDescent="0.35">
      <c r="A12" t="s">
        <v>30</v>
      </c>
      <c r="B12">
        <v>8</v>
      </c>
      <c r="C12">
        <v>400</v>
      </c>
      <c r="D12">
        <v>356</v>
      </c>
      <c r="E12">
        <v>0.5</v>
      </c>
      <c r="F12">
        <v>177</v>
      </c>
      <c r="H12">
        <v>0</v>
      </c>
      <c r="I12">
        <v>1214503</v>
      </c>
      <c r="J12">
        <v>1214503</v>
      </c>
      <c r="K12">
        <v>1387859</v>
      </c>
      <c r="L12">
        <v>1527413.111</v>
      </c>
      <c r="M12">
        <v>1535099.105</v>
      </c>
      <c r="N12">
        <v>40</v>
      </c>
      <c r="O12">
        <v>75</v>
      </c>
      <c r="P12">
        <v>40</v>
      </c>
      <c r="Q12">
        <v>35</v>
      </c>
      <c r="S12">
        <v>1800.101441</v>
      </c>
      <c r="T12">
        <v>14.362980840000001</v>
      </c>
      <c r="U12">
        <v>1800.0596909999999</v>
      </c>
      <c r="V12">
        <v>0</v>
      </c>
      <c r="W12">
        <v>1</v>
      </c>
      <c r="X12">
        <v>9</v>
      </c>
      <c r="Y12">
        <v>9</v>
      </c>
      <c r="Z12">
        <v>1214503</v>
      </c>
      <c r="AA12">
        <v>1214503</v>
      </c>
      <c r="AB12">
        <v>5.5670685769999997</v>
      </c>
      <c r="AC12">
        <v>309.16465399999998</v>
      </c>
      <c r="AD12">
        <v>4</v>
      </c>
      <c r="AE12">
        <v>4</v>
      </c>
    </row>
    <row r="13" spans="1:31" x14ac:dyDescent="0.35">
      <c r="A13" t="s">
        <v>30</v>
      </c>
      <c r="B13">
        <v>8</v>
      </c>
      <c r="C13">
        <v>400</v>
      </c>
      <c r="D13">
        <v>357</v>
      </c>
      <c r="E13">
        <v>0.8</v>
      </c>
      <c r="F13">
        <v>284</v>
      </c>
      <c r="H13">
        <v>0</v>
      </c>
      <c r="I13">
        <v>1661530</v>
      </c>
      <c r="J13">
        <v>1661530</v>
      </c>
      <c r="K13">
        <v>1721046</v>
      </c>
      <c r="L13">
        <v>1770272.3589999999</v>
      </c>
      <c r="M13">
        <v>1771299.4439999999</v>
      </c>
      <c r="N13">
        <v>40</v>
      </c>
      <c r="O13">
        <v>78</v>
      </c>
      <c r="P13">
        <v>40</v>
      </c>
      <c r="Q13">
        <v>38</v>
      </c>
      <c r="S13">
        <v>1800.058358</v>
      </c>
      <c r="T13">
        <v>14.813669920000001</v>
      </c>
      <c r="U13">
        <v>1800.1751859999999</v>
      </c>
      <c r="V13">
        <v>0</v>
      </c>
      <c r="W13">
        <v>1</v>
      </c>
      <c r="X13">
        <v>9</v>
      </c>
      <c r="Y13">
        <v>9</v>
      </c>
      <c r="Z13">
        <v>1661530</v>
      </c>
      <c r="AA13">
        <v>1661530</v>
      </c>
      <c r="AB13">
        <v>6.0778439039999999</v>
      </c>
      <c r="AC13">
        <v>309.34178850000001</v>
      </c>
      <c r="AD13">
        <v>4</v>
      </c>
      <c r="AE13">
        <v>6</v>
      </c>
    </row>
    <row r="14" spans="1:31" x14ac:dyDescent="0.35">
      <c r="A14" t="s">
        <v>30</v>
      </c>
      <c r="B14">
        <v>10</v>
      </c>
      <c r="C14">
        <v>500</v>
      </c>
      <c r="D14">
        <v>449</v>
      </c>
      <c r="E14">
        <v>0.3</v>
      </c>
      <c r="F14">
        <v>131</v>
      </c>
      <c r="H14">
        <v>0</v>
      </c>
      <c r="I14">
        <v>1265163</v>
      </c>
      <c r="J14">
        <v>1265163</v>
      </c>
      <c r="K14">
        <v>1521569</v>
      </c>
      <c r="L14">
        <v>1517750.446</v>
      </c>
      <c r="M14">
        <v>1526509.362</v>
      </c>
      <c r="N14">
        <v>50</v>
      </c>
      <c r="O14">
        <v>95</v>
      </c>
      <c r="P14">
        <v>50</v>
      </c>
      <c r="Q14">
        <v>45</v>
      </c>
      <c r="S14">
        <v>1800.076859</v>
      </c>
      <c r="T14">
        <v>24.877357480000001</v>
      </c>
      <c r="U14">
        <v>1800.0600939999999</v>
      </c>
      <c r="V14">
        <v>0</v>
      </c>
      <c r="W14">
        <v>1</v>
      </c>
      <c r="X14">
        <v>9</v>
      </c>
      <c r="Y14">
        <v>9</v>
      </c>
      <c r="Z14">
        <v>1265163</v>
      </c>
      <c r="AA14">
        <v>1265163</v>
      </c>
      <c r="AB14">
        <v>8.0454599859999991</v>
      </c>
      <c r="AC14">
        <v>319.58905959999998</v>
      </c>
      <c r="AD14">
        <v>3</v>
      </c>
      <c r="AE14">
        <v>13</v>
      </c>
    </row>
    <row r="15" spans="1:31" x14ac:dyDescent="0.35">
      <c r="A15" t="s">
        <v>30</v>
      </c>
      <c r="B15">
        <v>10</v>
      </c>
      <c r="C15">
        <v>500</v>
      </c>
      <c r="D15">
        <v>464</v>
      </c>
      <c r="E15">
        <v>0.5</v>
      </c>
      <c r="F15">
        <v>230</v>
      </c>
      <c r="H15">
        <v>0</v>
      </c>
      <c r="I15">
        <v>2083186</v>
      </c>
      <c r="J15">
        <v>2083186</v>
      </c>
      <c r="K15">
        <v>2253945</v>
      </c>
      <c r="L15">
        <v>2635155.1749999998</v>
      </c>
      <c r="M15">
        <v>2635720.5</v>
      </c>
      <c r="N15">
        <v>50</v>
      </c>
      <c r="O15">
        <v>93</v>
      </c>
      <c r="P15">
        <v>50</v>
      </c>
      <c r="Q15">
        <v>43</v>
      </c>
      <c r="S15">
        <v>1800.08772</v>
      </c>
      <c r="T15">
        <v>23.213637590000001</v>
      </c>
      <c r="U15">
        <v>1800.0930739999999</v>
      </c>
      <c r="V15">
        <v>0</v>
      </c>
      <c r="W15">
        <v>1</v>
      </c>
      <c r="X15">
        <v>9</v>
      </c>
      <c r="Y15">
        <v>9</v>
      </c>
      <c r="Z15">
        <v>2084179</v>
      </c>
      <c r="AA15">
        <v>2084179</v>
      </c>
      <c r="AB15">
        <v>8.7396214010000008</v>
      </c>
      <c r="AC15">
        <v>315.4818368</v>
      </c>
      <c r="AD15">
        <v>4</v>
      </c>
      <c r="AE15">
        <v>5</v>
      </c>
    </row>
    <row r="16" spans="1:31" x14ac:dyDescent="0.35">
      <c r="A16" t="s">
        <v>30</v>
      </c>
      <c r="B16">
        <v>10</v>
      </c>
      <c r="C16">
        <v>500</v>
      </c>
      <c r="D16">
        <v>455</v>
      </c>
      <c r="E16">
        <v>0.8</v>
      </c>
      <c r="F16">
        <v>360</v>
      </c>
      <c r="H16">
        <v>0</v>
      </c>
      <c r="I16">
        <v>2612332</v>
      </c>
      <c r="J16">
        <v>2612332</v>
      </c>
      <c r="K16">
        <v>2685207</v>
      </c>
      <c r="L16">
        <v>2755831.784</v>
      </c>
      <c r="M16">
        <v>2757310.6439999999</v>
      </c>
      <c r="N16">
        <v>50</v>
      </c>
      <c r="O16">
        <v>100</v>
      </c>
      <c r="P16">
        <v>50</v>
      </c>
      <c r="Q16">
        <v>50</v>
      </c>
      <c r="S16">
        <v>1800.328407</v>
      </c>
      <c r="T16">
        <v>25.69535995</v>
      </c>
      <c r="U16">
        <v>1800.3054509999999</v>
      </c>
      <c r="V16">
        <v>0</v>
      </c>
      <c r="W16">
        <v>1</v>
      </c>
      <c r="X16">
        <v>9</v>
      </c>
      <c r="Y16">
        <v>9</v>
      </c>
      <c r="Z16">
        <v>2612332</v>
      </c>
      <c r="AA16">
        <v>2612332</v>
      </c>
      <c r="AB16">
        <v>9.3742952349999999</v>
      </c>
      <c r="AC16">
        <v>318.58108590000001</v>
      </c>
      <c r="AD16">
        <v>5</v>
      </c>
      <c r="AE16">
        <v>9</v>
      </c>
    </row>
    <row r="17" spans="1:31" x14ac:dyDescent="0.35">
      <c r="A17" t="s">
        <v>30</v>
      </c>
      <c r="B17">
        <v>15</v>
      </c>
      <c r="C17">
        <v>750</v>
      </c>
      <c r="D17">
        <v>677</v>
      </c>
      <c r="E17">
        <v>0.3</v>
      </c>
      <c r="F17">
        <v>197</v>
      </c>
      <c r="H17">
        <v>0</v>
      </c>
      <c r="I17">
        <v>2916375</v>
      </c>
      <c r="J17">
        <v>2916375</v>
      </c>
      <c r="K17">
        <v>3440191</v>
      </c>
      <c r="L17">
        <v>3501451.8450000002</v>
      </c>
      <c r="M17">
        <v>3523721.852</v>
      </c>
      <c r="N17">
        <v>75</v>
      </c>
      <c r="O17">
        <v>131</v>
      </c>
      <c r="P17">
        <v>75</v>
      </c>
      <c r="Q17">
        <v>56</v>
      </c>
      <c r="S17">
        <v>1800.3211020000001</v>
      </c>
      <c r="T17">
        <v>56.704460140000002</v>
      </c>
      <c r="U17">
        <v>1800.138594</v>
      </c>
      <c r="V17">
        <v>0</v>
      </c>
      <c r="W17">
        <v>1</v>
      </c>
      <c r="X17">
        <v>9</v>
      </c>
      <c r="Y17">
        <v>9</v>
      </c>
      <c r="Z17">
        <v>2916375</v>
      </c>
      <c r="AA17">
        <v>2916375</v>
      </c>
      <c r="AB17">
        <v>19.475026369999998</v>
      </c>
      <c r="AC17">
        <v>328.95643810000001</v>
      </c>
      <c r="AD17">
        <v>4</v>
      </c>
      <c r="AE17">
        <v>4</v>
      </c>
    </row>
    <row r="18" spans="1:31" x14ac:dyDescent="0.35">
      <c r="A18" t="s">
        <v>30</v>
      </c>
      <c r="B18">
        <v>15</v>
      </c>
      <c r="C18">
        <v>750</v>
      </c>
      <c r="D18">
        <v>685</v>
      </c>
      <c r="E18">
        <v>0.5</v>
      </c>
      <c r="F18">
        <v>338</v>
      </c>
      <c r="H18">
        <v>0</v>
      </c>
      <c r="I18">
        <v>4476829</v>
      </c>
      <c r="J18">
        <v>4476829</v>
      </c>
      <c r="K18">
        <v>5030076</v>
      </c>
      <c r="L18">
        <v>5728730.142</v>
      </c>
      <c r="M18">
        <v>5750670.1150000002</v>
      </c>
      <c r="N18">
        <v>75</v>
      </c>
      <c r="O18">
        <v>137</v>
      </c>
      <c r="P18">
        <v>75</v>
      </c>
      <c r="Q18">
        <v>62</v>
      </c>
      <c r="S18">
        <v>1800.3128340000001</v>
      </c>
      <c r="T18">
        <v>58.599058630000002</v>
      </c>
      <c r="U18">
        <v>1800.1593760000001</v>
      </c>
      <c r="V18">
        <v>0</v>
      </c>
      <c r="W18">
        <v>1</v>
      </c>
      <c r="X18">
        <v>9</v>
      </c>
      <c r="Y18">
        <v>9</v>
      </c>
      <c r="Z18">
        <v>4476829</v>
      </c>
      <c r="AA18">
        <v>4476829</v>
      </c>
      <c r="AB18">
        <v>29.310947420000002</v>
      </c>
      <c r="AC18">
        <v>337.92612930000001</v>
      </c>
      <c r="AD18">
        <v>6</v>
      </c>
      <c r="AE18">
        <v>5</v>
      </c>
    </row>
    <row r="19" spans="1:31" x14ac:dyDescent="0.35">
      <c r="A19" t="s">
        <v>30</v>
      </c>
      <c r="B19">
        <v>15</v>
      </c>
      <c r="C19">
        <v>750</v>
      </c>
      <c r="D19">
        <v>687</v>
      </c>
      <c r="E19">
        <v>0.8</v>
      </c>
      <c r="F19">
        <v>545</v>
      </c>
      <c r="H19">
        <v>0</v>
      </c>
      <c r="J19">
        <v>0</v>
      </c>
      <c r="K19">
        <v>6206339</v>
      </c>
      <c r="L19">
        <v>6423533.0990000004</v>
      </c>
      <c r="M19">
        <v>6428691.6600000001</v>
      </c>
      <c r="N19">
        <v>75</v>
      </c>
      <c r="O19">
        <v>150</v>
      </c>
      <c r="P19">
        <v>75</v>
      </c>
      <c r="Q19">
        <v>75</v>
      </c>
      <c r="S19">
        <v>1800.2884220000001</v>
      </c>
      <c r="U19">
        <v>1800.3143669999999</v>
      </c>
      <c r="V19">
        <v>0</v>
      </c>
      <c r="W19">
        <v>0</v>
      </c>
      <c r="X19">
        <v>9</v>
      </c>
      <c r="Y19">
        <v>9</v>
      </c>
      <c r="Z19">
        <v>0</v>
      </c>
      <c r="AA19">
        <v>0</v>
      </c>
      <c r="AB19">
        <v>402.89937279999998</v>
      </c>
      <c r="AC19">
        <v>687.55684970000004</v>
      </c>
      <c r="AD19">
        <v>200</v>
      </c>
      <c r="AE19">
        <v>200</v>
      </c>
    </row>
    <row r="20" spans="1:31" x14ac:dyDescent="0.35">
      <c r="A20" t="s">
        <v>30</v>
      </c>
      <c r="B20">
        <v>20</v>
      </c>
      <c r="C20">
        <v>1000</v>
      </c>
      <c r="D20">
        <v>929</v>
      </c>
      <c r="E20">
        <v>0.3</v>
      </c>
      <c r="F20">
        <v>272</v>
      </c>
      <c r="H20">
        <v>0</v>
      </c>
      <c r="I20">
        <v>5373572</v>
      </c>
      <c r="J20">
        <v>5373572</v>
      </c>
      <c r="K20">
        <v>6284192</v>
      </c>
      <c r="L20">
        <v>6483551.085</v>
      </c>
      <c r="M20">
        <v>6483057.0839999998</v>
      </c>
      <c r="N20">
        <v>100</v>
      </c>
      <c r="O20">
        <v>178</v>
      </c>
      <c r="P20">
        <v>100</v>
      </c>
      <c r="Q20">
        <v>78</v>
      </c>
      <c r="S20">
        <v>1800.4316409999999</v>
      </c>
      <c r="T20">
        <v>118.5226195</v>
      </c>
      <c r="U20">
        <v>1800.26226</v>
      </c>
      <c r="V20">
        <v>0</v>
      </c>
      <c r="W20">
        <v>1</v>
      </c>
      <c r="X20">
        <v>9</v>
      </c>
      <c r="Y20">
        <v>9</v>
      </c>
      <c r="Z20">
        <v>5373572</v>
      </c>
      <c r="AA20">
        <v>5373572</v>
      </c>
      <c r="AB20">
        <v>44.939062120000003</v>
      </c>
      <c r="AC20">
        <v>366.4424138</v>
      </c>
      <c r="AD20">
        <v>5</v>
      </c>
      <c r="AE20">
        <v>4</v>
      </c>
    </row>
    <row r="21" spans="1:31" x14ac:dyDescent="0.35">
      <c r="A21" t="s">
        <v>30</v>
      </c>
      <c r="B21">
        <v>20</v>
      </c>
      <c r="C21">
        <v>1000</v>
      </c>
      <c r="D21">
        <v>927</v>
      </c>
      <c r="E21">
        <v>0.5</v>
      </c>
      <c r="F21">
        <v>460</v>
      </c>
      <c r="H21">
        <v>0</v>
      </c>
      <c r="J21">
        <v>0</v>
      </c>
      <c r="K21">
        <v>9019362</v>
      </c>
      <c r="L21">
        <v>10639594.5</v>
      </c>
      <c r="M21">
        <v>11452547</v>
      </c>
      <c r="N21">
        <v>100</v>
      </c>
      <c r="O21">
        <v>200</v>
      </c>
      <c r="P21">
        <v>100</v>
      </c>
      <c r="Q21">
        <v>100</v>
      </c>
      <c r="S21">
        <v>1800.361979</v>
      </c>
      <c r="U21">
        <v>1800.3867889999999</v>
      </c>
      <c r="V21">
        <v>0</v>
      </c>
      <c r="W21">
        <v>0</v>
      </c>
      <c r="X21">
        <v>9</v>
      </c>
      <c r="Y21">
        <v>9</v>
      </c>
      <c r="Z21">
        <v>0</v>
      </c>
      <c r="AA21">
        <v>0</v>
      </c>
      <c r="AB21">
        <v>874.94525309999995</v>
      </c>
      <c r="AC21">
        <v>1195.144616</v>
      </c>
      <c r="AD21">
        <v>200</v>
      </c>
      <c r="AE21">
        <v>200</v>
      </c>
    </row>
    <row r="22" spans="1:31" x14ac:dyDescent="0.35">
      <c r="A22" t="s">
        <v>30</v>
      </c>
      <c r="B22">
        <v>20</v>
      </c>
      <c r="C22">
        <v>1000</v>
      </c>
      <c r="D22">
        <v>910</v>
      </c>
      <c r="E22">
        <v>0.8</v>
      </c>
      <c r="F22">
        <v>721</v>
      </c>
      <c r="H22">
        <v>0</v>
      </c>
      <c r="I22">
        <v>10149677</v>
      </c>
      <c r="J22">
        <v>10149677</v>
      </c>
      <c r="K22">
        <v>10510800</v>
      </c>
      <c r="L22">
        <v>10856706.27</v>
      </c>
      <c r="M22">
        <v>10858177.560000001</v>
      </c>
      <c r="N22">
        <v>99</v>
      </c>
      <c r="O22">
        <v>190</v>
      </c>
      <c r="P22">
        <v>99</v>
      </c>
      <c r="Q22">
        <v>91</v>
      </c>
      <c r="S22">
        <v>1800.4086359999999</v>
      </c>
      <c r="T22">
        <v>117.44336749999999</v>
      </c>
      <c r="U22">
        <v>1800.173131</v>
      </c>
      <c r="V22">
        <v>0</v>
      </c>
      <c r="W22">
        <v>1</v>
      </c>
      <c r="X22">
        <v>9</v>
      </c>
      <c r="Y22">
        <v>9</v>
      </c>
      <c r="Z22">
        <v>10149251</v>
      </c>
      <c r="AA22">
        <v>10149677</v>
      </c>
      <c r="AB22">
        <v>45.686182260000002</v>
      </c>
      <c r="AC22">
        <v>377.61362810000003</v>
      </c>
      <c r="AD22">
        <v>4</v>
      </c>
      <c r="AE22">
        <v>6</v>
      </c>
    </row>
    <row r="23" spans="1:31" x14ac:dyDescent="0.35">
      <c r="A23" t="s">
        <v>30</v>
      </c>
      <c r="B23">
        <v>25</v>
      </c>
      <c r="C23">
        <v>1250</v>
      </c>
      <c r="D23">
        <v>1131</v>
      </c>
      <c r="E23">
        <v>0.3</v>
      </c>
      <c r="F23">
        <v>329</v>
      </c>
      <c r="H23">
        <v>0</v>
      </c>
      <c r="I23">
        <v>8023862</v>
      </c>
      <c r="J23">
        <v>8023862</v>
      </c>
      <c r="K23">
        <v>9502924</v>
      </c>
      <c r="L23">
        <v>9787529.5280000009</v>
      </c>
      <c r="M23">
        <v>17369584</v>
      </c>
      <c r="N23">
        <v>125</v>
      </c>
      <c r="O23">
        <v>210</v>
      </c>
      <c r="P23">
        <v>125</v>
      </c>
      <c r="Q23">
        <v>85</v>
      </c>
      <c r="S23">
        <v>1800.4498980000001</v>
      </c>
      <c r="T23">
        <v>166.86226769999999</v>
      </c>
      <c r="U23">
        <v>1800.8454830000001</v>
      </c>
      <c r="V23">
        <v>0</v>
      </c>
      <c r="W23">
        <v>1</v>
      </c>
      <c r="X23">
        <v>9</v>
      </c>
      <c r="Y23">
        <v>9</v>
      </c>
      <c r="Z23">
        <v>8023862</v>
      </c>
      <c r="AA23">
        <v>8023862</v>
      </c>
      <c r="AB23">
        <v>51.763733629999997</v>
      </c>
      <c r="AC23">
        <v>394.25314040000001</v>
      </c>
      <c r="AD23">
        <v>3</v>
      </c>
      <c r="AE23">
        <v>4</v>
      </c>
    </row>
    <row r="24" spans="1:31" x14ac:dyDescent="0.35">
      <c r="A24" t="s">
        <v>30</v>
      </c>
      <c r="B24">
        <v>25</v>
      </c>
      <c r="C24">
        <v>1250</v>
      </c>
      <c r="D24">
        <v>1162</v>
      </c>
      <c r="E24">
        <v>0.5</v>
      </c>
      <c r="F24">
        <v>574</v>
      </c>
      <c r="H24">
        <v>0</v>
      </c>
      <c r="I24">
        <v>12640740</v>
      </c>
      <c r="J24">
        <v>12640740</v>
      </c>
      <c r="K24">
        <v>13936012</v>
      </c>
      <c r="L24">
        <v>17424141</v>
      </c>
      <c r="M24">
        <v>17424141</v>
      </c>
      <c r="N24">
        <v>125</v>
      </c>
      <c r="O24">
        <v>236</v>
      </c>
      <c r="P24">
        <v>125</v>
      </c>
      <c r="Q24">
        <v>111</v>
      </c>
      <c r="S24">
        <v>1800.5891899999999</v>
      </c>
      <c r="T24">
        <v>176.5225513</v>
      </c>
      <c r="U24">
        <v>1800.4977839999999</v>
      </c>
      <c r="V24">
        <v>0</v>
      </c>
      <c r="W24">
        <v>1</v>
      </c>
      <c r="X24">
        <v>9</v>
      </c>
      <c r="Y24">
        <v>9</v>
      </c>
      <c r="Z24">
        <v>12640740</v>
      </c>
      <c r="AA24">
        <v>12640740</v>
      </c>
      <c r="AB24">
        <v>77.678566219999993</v>
      </c>
      <c r="AC24">
        <v>417.08841419999999</v>
      </c>
      <c r="AD24">
        <v>4</v>
      </c>
      <c r="AE24">
        <v>4</v>
      </c>
    </row>
    <row r="25" spans="1:31" x14ac:dyDescent="0.35">
      <c r="A25" t="s">
        <v>30</v>
      </c>
      <c r="B25">
        <v>25</v>
      </c>
      <c r="C25">
        <v>1250</v>
      </c>
      <c r="D25">
        <v>1119</v>
      </c>
      <c r="E25">
        <v>0.8</v>
      </c>
      <c r="F25">
        <v>887</v>
      </c>
      <c r="H25">
        <v>0</v>
      </c>
      <c r="J25">
        <v>0</v>
      </c>
      <c r="K25">
        <v>16806067</v>
      </c>
      <c r="L25">
        <v>17512762.09</v>
      </c>
      <c r="M25">
        <v>17521461.02</v>
      </c>
      <c r="N25">
        <v>125</v>
      </c>
      <c r="O25">
        <v>175</v>
      </c>
      <c r="P25">
        <v>125</v>
      </c>
      <c r="Q25">
        <v>50</v>
      </c>
      <c r="S25">
        <v>1800.439699</v>
      </c>
      <c r="U25">
        <v>1800.529037</v>
      </c>
      <c r="V25">
        <v>0</v>
      </c>
      <c r="W25">
        <v>0</v>
      </c>
      <c r="X25">
        <v>9</v>
      </c>
      <c r="Y25">
        <v>9</v>
      </c>
      <c r="Z25">
        <v>0</v>
      </c>
      <c r="AA25">
        <v>0</v>
      </c>
      <c r="AB25">
        <v>1789.4021789999999</v>
      </c>
      <c r="AC25">
        <v>1949.081263</v>
      </c>
      <c r="AD25">
        <v>200</v>
      </c>
      <c r="AE25">
        <v>200</v>
      </c>
    </row>
    <row r="26" spans="1:31" x14ac:dyDescent="0.35">
      <c r="A26" t="s">
        <v>30</v>
      </c>
      <c r="B26">
        <v>30</v>
      </c>
      <c r="C26">
        <v>1500</v>
      </c>
      <c r="D26">
        <v>1354</v>
      </c>
      <c r="E26">
        <v>0.3</v>
      </c>
      <c r="F26">
        <v>396</v>
      </c>
      <c r="H26">
        <v>0</v>
      </c>
      <c r="I26">
        <v>11151409</v>
      </c>
      <c r="J26">
        <v>11151409</v>
      </c>
      <c r="K26">
        <v>13520238</v>
      </c>
      <c r="L26">
        <v>13751178.65</v>
      </c>
      <c r="M26">
        <v>24217329</v>
      </c>
      <c r="N26">
        <v>150</v>
      </c>
      <c r="O26">
        <v>267</v>
      </c>
      <c r="P26">
        <v>150</v>
      </c>
      <c r="Q26">
        <v>117</v>
      </c>
      <c r="S26">
        <v>1800.6128309999999</v>
      </c>
      <c r="T26">
        <v>284.0628269</v>
      </c>
      <c r="U26">
        <v>1801.140159</v>
      </c>
      <c r="V26">
        <v>0</v>
      </c>
      <c r="W26">
        <v>1</v>
      </c>
      <c r="X26">
        <v>9</v>
      </c>
      <c r="Y26">
        <v>9</v>
      </c>
      <c r="Z26">
        <v>11151409</v>
      </c>
      <c r="AA26">
        <v>11151409</v>
      </c>
      <c r="AB26">
        <v>119.5948532</v>
      </c>
      <c r="AC26">
        <v>460.19168309999998</v>
      </c>
      <c r="AD26">
        <v>5</v>
      </c>
      <c r="AE26">
        <v>4</v>
      </c>
    </row>
    <row r="27" spans="1:31" x14ac:dyDescent="0.35">
      <c r="A27" t="s">
        <v>30</v>
      </c>
      <c r="B27">
        <v>30</v>
      </c>
      <c r="C27">
        <v>1500</v>
      </c>
      <c r="D27">
        <v>1343</v>
      </c>
      <c r="E27">
        <v>0.5</v>
      </c>
      <c r="F27">
        <v>665</v>
      </c>
      <c r="H27">
        <v>0</v>
      </c>
      <c r="I27">
        <v>17342373</v>
      </c>
      <c r="J27">
        <v>17342373</v>
      </c>
      <c r="K27">
        <v>16969043</v>
      </c>
      <c r="L27">
        <v>25103438</v>
      </c>
      <c r="M27">
        <v>25103438</v>
      </c>
      <c r="N27">
        <v>150</v>
      </c>
      <c r="O27">
        <v>272</v>
      </c>
      <c r="P27">
        <v>150</v>
      </c>
      <c r="Q27">
        <v>122</v>
      </c>
      <c r="S27">
        <v>1800.761258</v>
      </c>
      <c r="T27">
        <v>288.53134849999998</v>
      </c>
      <c r="U27">
        <v>1800.891597</v>
      </c>
      <c r="V27">
        <v>0</v>
      </c>
      <c r="W27">
        <v>1</v>
      </c>
      <c r="X27">
        <v>9</v>
      </c>
      <c r="Y27">
        <v>9</v>
      </c>
      <c r="Z27">
        <v>17342373</v>
      </c>
      <c r="AA27">
        <v>17342373</v>
      </c>
      <c r="AB27">
        <v>146.4595277</v>
      </c>
      <c r="AC27">
        <v>503.77972149999999</v>
      </c>
      <c r="AD27">
        <v>6</v>
      </c>
      <c r="AE27">
        <v>6</v>
      </c>
    </row>
    <row r="28" spans="1:31" x14ac:dyDescent="0.35">
      <c r="A28" t="s">
        <v>30</v>
      </c>
      <c r="B28">
        <v>30</v>
      </c>
      <c r="C28">
        <v>1500</v>
      </c>
      <c r="D28">
        <v>1382</v>
      </c>
      <c r="E28">
        <v>0.8</v>
      </c>
      <c r="F28">
        <v>1097</v>
      </c>
      <c r="H28">
        <v>0</v>
      </c>
      <c r="J28">
        <v>0</v>
      </c>
      <c r="K28">
        <v>24180910</v>
      </c>
      <c r="L28">
        <v>25019918.109999999</v>
      </c>
      <c r="M28">
        <v>25028611.27</v>
      </c>
      <c r="N28">
        <v>150</v>
      </c>
      <c r="O28">
        <v>180</v>
      </c>
      <c r="P28">
        <v>150</v>
      </c>
      <c r="Q28">
        <v>30</v>
      </c>
      <c r="S28">
        <v>1800.6381730000001</v>
      </c>
      <c r="U28">
        <v>1800.6858070000001</v>
      </c>
      <c r="V28">
        <v>0</v>
      </c>
      <c r="W28">
        <v>0</v>
      </c>
      <c r="X28">
        <v>9</v>
      </c>
      <c r="Y28">
        <v>9</v>
      </c>
      <c r="Z28">
        <v>0</v>
      </c>
      <c r="AA28">
        <v>0</v>
      </c>
      <c r="AB28">
        <v>2910.7460719999999</v>
      </c>
      <c r="AC28">
        <v>3240.4506230000002</v>
      </c>
      <c r="AD28">
        <v>200</v>
      </c>
      <c r="AE28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BZRvsZR</vt:lpstr>
      <vt:lpstr>RR-BRD</vt:lpstr>
      <vt:lpstr>EBMC_test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Hyunwoo</cp:lastModifiedBy>
  <dcterms:created xsi:type="dcterms:W3CDTF">2025-12-18T16:40:17Z</dcterms:created>
  <dcterms:modified xsi:type="dcterms:W3CDTF">2026-01-27T22:14:22Z</dcterms:modified>
</cp:coreProperties>
</file>