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KPG/KPG_results/"/>
    </mc:Choice>
  </mc:AlternateContent>
  <xr:revisionPtr revIDLastSave="191" documentId="8_{AE28F35C-1500-43F7-BA62-01B33437E49E}" xr6:coauthVersionLast="47" xr6:coauthVersionMax="47" xr10:uidLastSave="{99EC1DBF-D7D8-4539-B61C-26D04510497B}"/>
  <bookViews>
    <workbookView xWindow="57480" yWindow="-120" windowWidth="38640" windowHeight="21120" activeTab="1" xr2:uid="{BA39F4C4-1B5F-4568-9DBB-334E6825144C}"/>
  </bookViews>
  <sheets>
    <sheet name="BZRvsZR" sheetId="4" r:id="rId1"/>
    <sheet name="RR-BRD" sheetId="3" r:id="rId2"/>
    <sheet name="KPG_test_A_original" sheetId="1" r:id="rId3"/>
  </sheets>
  <definedNames>
    <definedName name="_xlnm._FilterDatabase" localSheetId="2" hidden="1">KPG_test_A_original!$A$1:$AE$1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L29" i="3" l="1"/>
  <c r="K29" i="3"/>
  <c r="J29" i="3"/>
  <c r="I29" i="3"/>
  <c r="H29" i="3"/>
  <c r="G29" i="3"/>
  <c r="E29" i="3"/>
  <c r="D29" i="3"/>
  <c r="C29" i="3"/>
  <c r="F29" i="3"/>
  <c r="P29" i="4"/>
  <c r="O29" i="4"/>
  <c r="J29" i="4"/>
  <c r="D29" i="4"/>
  <c r="C2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" i="4"/>
</calcChain>
</file>

<file path=xl/sharedStrings.xml><?xml version="1.0" encoding="utf-8"?>
<sst xmlns="http://schemas.openxmlformats.org/spreadsheetml/2006/main" count="179" uniqueCount="61">
  <si>
    <t>filename</t>
  </si>
  <si>
    <t>players</t>
  </si>
  <si>
    <t>items</t>
  </si>
  <si>
    <t>budgets</t>
  </si>
  <si>
    <t>category</t>
  </si>
  <si>
    <t>ZR_1st</t>
  </si>
  <si>
    <t>ZR</t>
  </si>
  <si>
    <t>BZR_1st</t>
  </si>
  <si>
    <t>BZR</t>
  </si>
  <si>
    <t>OSW</t>
  </si>
  <si>
    <t>bound_ZR</t>
  </si>
  <si>
    <t>bound_BZR</t>
  </si>
  <si>
    <t>ZR_1st_T</t>
  </si>
  <si>
    <t>ZR_T</t>
  </si>
  <si>
    <t>BZR_1st_T</t>
  </si>
  <si>
    <t>BZR_T</t>
  </si>
  <si>
    <t>Cuts_ZR</t>
  </si>
  <si>
    <t>Cuts_BZR_total</t>
  </si>
  <si>
    <t>Cuts_BZR</t>
  </si>
  <si>
    <t>Ad_Cuts_BZR</t>
  </si>
  <si>
    <t>num_PNEs_ZR</t>
  </si>
  <si>
    <t>num_PNEs_BZR</t>
  </si>
  <si>
    <t>Status_ZR</t>
  </si>
  <si>
    <t>Status_BZR</t>
  </si>
  <si>
    <t>BRD(0)</t>
  </si>
  <si>
    <t>BRD(OSW)</t>
  </si>
  <si>
    <t>BRD(0)_T</t>
  </si>
  <si>
    <t>BRD(OSW)_T</t>
  </si>
  <si>
    <t>it_BRD(0)</t>
  </si>
  <si>
    <t>it_BRD(OSW)</t>
  </si>
  <si>
    <t>Total</t>
  </si>
  <si>
    <t>10-100-2-pot.txt</t>
  </si>
  <si>
    <t>A</t>
  </si>
  <si>
    <t>10-100-5-pot.txt</t>
  </si>
  <si>
    <t>10-100-8-pot.txt</t>
  </si>
  <si>
    <t>15-100-2-pot.txt</t>
  </si>
  <si>
    <t>15-100-5-pot.txt</t>
  </si>
  <si>
    <t>15-100-8-pot.txt</t>
  </si>
  <si>
    <t>2-100-2-pot.txt</t>
  </si>
  <si>
    <t>2-100-5-pot.txt</t>
  </si>
  <si>
    <t>2-100-8-pot.txt</t>
  </si>
  <si>
    <t>20-100-2-pot.txt</t>
  </si>
  <si>
    <t>20-100-5-pot.txt</t>
  </si>
  <si>
    <t>20-100-8-pot.txt</t>
  </si>
  <si>
    <t>25-100-2-pot.txt</t>
  </si>
  <si>
    <t>25-100-5-pot.txt</t>
  </si>
  <si>
    <t>25-100-8-pot.txt</t>
  </si>
  <si>
    <t>3-100-2-pot.txt</t>
  </si>
  <si>
    <t>3-100-5-pot.txt</t>
  </si>
  <si>
    <t>3-100-8-pot.txt</t>
  </si>
  <si>
    <t>30-100-2-pot.txt</t>
  </si>
  <si>
    <t>30-100-5-pot.txt</t>
  </si>
  <si>
    <t>30-100-8-pot.txt</t>
  </si>
  <si>
    <t>5-100-2-pot.txt</t>
  </si>
  <si>
    <t>5-100-5-pot.txt</t>
  </si>
  <si>
    <t>5-100-8-pot.txt</t>
  </si>
  <si>
    <t>8-100-2-pot.txt</t>
  </si>
  <si>
    <t>8-100-5-pot.txt</t>
  </si>
  <si>
    <t>8-100-8-pot.txt</t>
  </si>
  <si>
    <t>POS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</si>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</sst>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09C0-30FB-452E-B38C-D10F30BE17CE}">
  <dimension ref="A1:P29"/>
  <sheetViews>
    <sheetView workbookViewId="0">
      <selection activeCell="P8" sqref="P8"/>
    </sheetView>
  </sheetViews>
  <sheetFormatPr defaultRowHeight="14.5" x14ac:dyDescent="0.35"/>
  <cols>
    <col min="3" max="4" width="8.7265625" customWidth="1"/>
    <col min="11" max="12" width="9.36328125" bestFit="1" customWidth="1"/>
    <col min="13" max="13" width="9.08984375" bestFit="1" customWidth="1"/>
    <col min="14" max="14" width="9.36328125" bestFit="1" customWidth="1"/>
  </cols>
  <sheetData>
    <row r="1" spans="1:16" x14ac:dyDescent="0.35">
      <c r="A1" t="s">
        <v>1</v>
      </c>
      <c r="B1" t="s">
        <v>3</v>
      </c>
      <c r="C1" t="s">
        <v>20</v>
      </c>
      <c r="D1" t="s">
        <v>21</v>
      </c>
      <c r="E1" t="s">
        <v>6</v>
      </c>
      <c r="F1" t="s">
        <v>8</v>
      </c>
      <c r="G1" t="s">
        <v>10</v>
      </c>
      <c r="H1" t="s">
        <v>11</v>
      </c>
      <c r="I1" t="s">
        <v>9</v>
      </c>
      <c r="J1" t="s">
        <v>59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5">
      <c r="A2">
        <v>2</v>
      </c>
      <c r="B2">
        <v>0.2</v>
      </c>
      <c r="C2">
        <v>1</v>
      </c>
      <c r="D2" s="3">
        <v>3</v>
      </c>
      <c r="E2" s="1">
        <v>18.515999999999998</v>
      </c>
      <c r="F2" s="1">
        <v>18.515999999999998</v>
      </c>
      <c r="G2" s="1">
        <v>18.515999999999998</v>
      </c>
      <c r="H2" s="1">
        <v>18.515999999999998</v>
      </c>
      <c r="I2" s="1">
        <v>18.722999999999999</v>
      </c>
      <c r="J2" s="2">
        <f>I2/F2</f>
        <v>1.0111795204147764</v>
      </c>
      <c r="K2" s="1">
        <v>1.08854031562805</v>
      </c>
      <c r="L2" s="1">
        <v>1.67481637001037</v>
      </c>
      <c r="M2" s="1">
        <v>0.13428068161010701</v>
      </c>
      <c r="N2" s="1">
        <v>2.52324986457824</v>
      </c>
      <c r="O2">
        <v>2031</v>
      </c>
      <c r="P2">
        <v>2040</v>
      </c>
    </row>
    <row r="3" spans="1:16" x14ac:dyDescent="0.35">
      <c r="B3">
        <v>0.5</v>
      </c>
      <c r="C3">
        <v>1</v>
      </c>
      <c r="D3" s="3">
        <v>9</v>
      </c>
      <c r="E3" s="1">
        <v>18.271000000000001</v>
      </c>
      <c r="F3" s="1">
        <v>18.271000000000001</v>
      </c>
      <c r="G3" s="1">
        <v>18.271000000000001</v>
      </c>
      <c r="H3" s="1">
        <v>18.271000000000001</v>
      </c>
      <c r="I3" s="1">
        <v>18.300999999999998</v>
      </c>
      <c r="J3" s="2">
        <f t="shared" ref="J3:J28" si="0">I3/F3</f>
        <v>1.0016419462536259</v>
      </c>
      <c r="K3" s="1">
        <v>1.0773811340332</v>
      </c>
      <c r="L3" s="1">
        <v>1.4663994312286299</v>
      </c>
      <c r="M3" s="1">
        <v>6.2645435333251898E-2</v>
      </c>
      <c r="N3" s="1">
        <v>1.15941286087036</v>
      </c>
      <c r="O3">
        <v>155</v>
      </c>
      <c r="P3">
        <v>116</v>
      </c>
    </row>
    <row r="4" spans="1:16" x14ac:dyDescent="0.35">
      <c r="B4">
        <v>0.8</v>
      </c>
      <c r="C4">
        <v>1</v>
      </c>
      <c r="D4" s="3">
        <v>10</v>
      </c>
      <c r="E4" s="1">
        <v>8.3019999999999996</v>
      </c>
      <c r="F4" s="1">
        <v>8.3019999999999996</v>
      </c>
      <c r="G4" s="1">
        <v>8.3019999999999996</v>
      </c>
      <c r="H4" s="1">
        <v>8.3019999999999996</v>
      </c>
      <c r="I4" s="1">
        <v>8.3569999999999993</v>
      </c>
      <c r="J4" s="2">
        <f t="shared" si="0"/>
        <v>1.0066249096603228</v>
      </c>
      <c r="K4" s="1">
        <v>2.72987556457519</v>
      </c>
      <c r="L4" s="1">
        <v>3.1421008110046298</v>
      </c>
      <c r="M4" s="1">
        <v>0.10685110092163</v>
      </c>
      <c r="N4" s="1">
        <v>2.3211762905120801</v>
      </c>
      <c r="O4">
        <v>671</v>
      </c>
      <c r="P4">
        <v>657</v>
      </c>
    </row>
    <row r="5" spans="1:16" x14ac:dyDescent="0.35">
      <c r="A5">
        <v>3</v>
      </c>
      <c r="B5">
        <v>0.2</v>
      </c>
      <c r="C5">
        <v>5</v>
      </c>
      <c r="D5" s="3">
        <v>9</v>
      </c>
      <c r="E5" s="1">
        <v>37.606999999999999</v>
      </c>
      <c r="F5" s="1">
        <v>37.606999999999999</v>
      </c>
      <c r="G5" s="1">
        <v>37.606999999999999</v>
      </c>
      <c r="H5" s="1">
        <v>37.606999999999999</v>
      </c>
      <c r="I5" s="1">
        <v>37.826000000000001</v>
      </c>
      <c r="J5" s="2">
        <f t="shared" si="0"/>
        <v>1.0058233839444783</v>
      </c>
      <c r="K5" s="1">
        <v>11.9863970279693</v>
      </c>
      <c r="L5" s="1">
        <v>14.7541863918304</v>
      </c>
      <c r="M5" s="1">
        <v>1.1480195522308301</v>
      </c>
      <c r="N5" s="1">
        <v>9.5624246597290004</v>
      </c>
      <c r="O5">
        <v>1058</v>
      </c>
      <c r="P5">
        <v>1009</v>
      </c>
    </row>
    <row r="6" spans="1:16" x14ac:dyDescent="0.35">
      <c r="B6">
        <v>0.5</v>
      </c>
      <c r="C6">
        <v>2</v>
      </c>
      <c r="D6" s="3">
        <v>131</v>
      </c>
      <c r="E6" s="1">
        <v>32.673000000000002</v>
      </c>
      <c r="F6" s="1">
        <v>32.673000000000002</v>
      </c>
      <c r="G6" s="1">
        <v>32.673999999999999</v>
      </c>
      <c r="H6" s="1">
        <v>32.673000000000002</v>
      </c>
      <c r="I6" s="1">
        <v>32.765999999999998</v>
      </c>
      <c r="J6" s="2">
        <f t="shared" si="0"/>
        <v>1.0028463869249837</v>
      </c>
      <c r="K6" s="1">
        <v>958.73863291740395</v>
      </c>
      <c r="L6" s="1">
        <v>1646.5764687061301</v>
      </c>
      <c r="M6" s="1">
        <v>0.196640014648437</v>
      </c>
      <c r="N6" s="1">
        <v>174.18118977546601</v>
      </c>
      <c r="O6">
        <v>3394</v>
      </c>
      <c r="P6">
        <v>805</v>
      </c>
    </row>
    <row r="7" spans="1:16" x14ac:dyDescent="0.35">
      <c r="B7">
        <v>0.8</v>
      </c>
      <c r="C7">
        <v>0</v>
      </c>
      <c r="D7" s="3">
        <v>61</v>
      </c>
      <c r="E7" s="1" t="s">
        <v>60</v>
      </c>
      <c r="F7" s="4">
        <v>14.8</v>
      </c>
      <c r="G7" s="1">
        <v>14.862</v>
      </c>
      <c r="H7" s="4">
        <v>14.8</v>
      </c>
      <c r="I7" s="1">
        <v>15.164</v>
      </c>
      <c r="J7" s="2">
        <f t="shared" si="0"/>
        <v>1.0245945945945945</v>
      </c>
      <c r="K7" s="1" t="s">
        <v>60</v>
      </c>
      <c r="L7" s="1">
        <v>1800.1671864986399</v>
      </c>
      <c r="M7" s="1">
        <v>0.227250576019287</v>
      </c>
      <c r="N7" s="1">
        <v>339.112529277801</v>
      </c>
      <c r="O7">
        <v>2739</v>
      </c>
      <c r="P7">
        <v>1167</v>
      </c>
    </row>
    <row r="8" spans="1:16" x14ac:dyDescent="0.35">
      <c r="A8">
        <v>5</v>
      </c>
      <c r="B8">
        <v>0.2</v>
      </c>
      <c r="C8">
        <v>3</v>
      </c>
      <c r="D8" s="3">
        <v>8</v>
      </c>
      <c r="E8" s="1">
        <v>131.29599999999999</v>
      </c>
      <c r="F8" s="1">
        <v>131.29599999999999</v>
      </c>
      <c r="G8" s="1">
        <v>131.30799999999999</v>
      </c>
      <c r="H8" s="1">
        <v>131.30000000000001</v>
      </c>
      <c r="I8" s="1">
        <v>131.29599999999999</v>
      </c>
      <c r="J8" s="2">
        <f t="shared" si="0"/>
        <v>1</v>
      </c>
      <c r="K8" s="1">
        <v>7.7464110851287797</v>
      </c>
      <c r="L8" s="1">
        <v>81.487275600433307</v>
      </c>
      <c r="M8" s="1">
        <v>1.8076131343841499</v>
      </c>
      <c r="N8" s="1">
        <v>47.921340703964198</v>
      </c>
      <c r="O8">
        <v>58</v>
      </c>
      <c r="P8">
        <v>78</v>
      </c>
    </row>
    <row r="9" spans="1:16" x14ac:dyDescent="0.35">
      <c r="B9">
        <v>0.5</v>
      </c>
      <c r="C9">
        <v>0</v>
      </c>
      <c r="D9" s="3">
        <v>93</v>
      </c>
      <c r="E9" s="1" t="s">
        <v>60</v>
      </c>
      <c r="F9" s="4">
        <v>60.572000000000003</v>
      </c>
      <c r="G9" s="1">
        <v>61.015000000000001</v>
      </c>
      <c r="H9" s="1">
        <v>60.966999999999999</v>
      </c>
      <c r="I9" s="1">
        <v>61.424999999999997</v>
      </c>
      <c r="J9" s="2">
        <f t="shared" si="0"/>
        <v>1.0140824143168459</v>
      </c>
      <c r="K9" s="1" t="s">
        <v>60</v>
      </c>
      <c r="L9" s="1">
        <v>1800.3189415931699</v>
      </c>
      <c r="M9" s="1">
        <v>0.85490512847900302</v>
      </c>
      <c r="N9" s="1">
        <v>1800.1472723484001</v>
      </c>
      <c r="O9">
        <v>2892</v>
      </c>
      <c r="P9">
        <v>1730</v>
      </c>
    </row>
    <row r="10" spans="1:16" x14ac:dyDescent="0.35">
      <c r="B10">
        <v>0.8</v>
      </c>
      <c r="C10">
        <v>1</v>
      </c>
      <c r="D10" s="3">
        <v>18</v>
      </c>
      <c r="E10" s="1">
        <v>27.321999999999999</v>
      </c>
      <c r="F10" s="1">
        <v>27.343</v>
      </c>
      <c r="G10" s="1">
        <v>27.384</v>
      </c>
      <c r="H10" s="4">
        <v>27.343</v>
      </c>
      <c r="I10" s="1">
        <v>29.309000000000001</v>
      </c>
      <c r="J10" s="2">
        <f t="shared" si="0"/>
        <v>1.0719014007241341</v>
      </c>
      <c r="K10" s="1">
        <v>1784.8587808609</v>
      </c>
      <c r="L10" s="1">
        <v>1800.1460525989501</v>
      </c>
      <c r="M10" s="1">
        <v>0.45135450363159102</v>
      </c>
      <c r="N10" s="1">
        <v>183.81154131889301</v>
      </c>
      <c r="O10">
        <v>3982</v>
      </c>
      <c r="P10">
        <v>3857</v>
      </c>
    </row>
    <row r="11" spans="1:16" x14ac:dyDescent="0.35">
      <c r="A11">
        <v>8</v>
      </c>
      <c r="B11">
        <v>0.2</v>
      </c>
      <c r="C11">
        <v>0</v>
      </c>
      <c r="D11" s="3">
        <v>17</v>
      </c>
      <c r="E11" s="1" t="s">
        <v>60</v>
      </c>
      <c r="F11" s="4">
        <v>295.125</v>
      </c>
      <c r="G11" s="1">
        <v>295.63600000000002</v>
      </c>
      <c r="H11" s="4">
        <v>295.39800000000002</v>
      </c>
      <c r="I11" s="1">
        <v>295.13200000000001</v>
      </c>
      <c r="J11" s="2">
        <f t="shared" si="0"/>
        <v>1.0000237187632359</v>
      </c>
      <c r="K11" s="1" t="s">
        <v>60</v>
      </c>
      <c r="L11" s="1">
        <v>1800.7035512924101</v>
      </c>
      <c r="M11" s="1">
        <v>4.9880294799804599</v>
      </c>
      <c r="N11" s="1">
        <v>1800.3245749473499</v>
      </c>
      <c r="O11">
        <v>1657</v>
      </c>
      <c r="P11">
        <v>200</v>
      </c>
    </row>
    <row r="12" spans="1:16" x14ac:dyDescent="0.35">
      <c r="B12">
        <v>0.5</v>
      </c>
      <c r="C12">
        <v>0</v>
      </c>
      <c r="D12" s="3">
        <v>35</v>
      </c>
      <c r="E12" s="1" t="s">
        <v>60</v>
      </c>
      <c r="F12" s="4">
        <v>112.367</v>
      </c>
      <c r="G12" s="1">
        <v>114.178</v>
      </c>
      <c r="H12" s="4">
        <v>114.00700000000001</v>
      </c>
      <c r="I12" s="1">
        <v>116.68600000000001</v>
      </c>
      <c r="J12" s="2">
        <f t="shared" si="0"/>
        <v>1.0384365516566252</v>
      </c>
      <c r="K12" s="1" t="s">
        <v>60</v>
      </c>
      <c r="L12" s="1">
        <v>1800.37448620796</v>
      </c>
      <c r="M12" s="1">
        <v>1.4810817241668699</v>
      </c>
      <c r="N12" s="1">
        <v>1800.3014395236901</v>
      </c>
      <c r="O12">
        <v>4833</v>
      </c>
      <c r="P12">
        <v>4680</v>
      </c>
    </row>
    <row r="13" spans="1:16" x14ac:dyDescent="0.35">
      <c r="B13">
        <v>0.8</v>
      </c>
      <c r="C13">
        <v>0</v>
      </c>
      <c r="D13" s="3">
        <v>49</v>
      </c>
      <c r="E13" s="1" t="s">
        <v>60</v>
      </c>
      <c r="F13" s="4">
        <v>86.944999999999993</v>
      </c>
      <c r="G13" s="1">
        <v>87.745000000000005</v>
      </c>
      <c r="H13" s="4">
        <v>87.620999999999995</v>
      </c>
      <c r="I13" s="1">
        <v>87.772000000000006</v>
      </c>
      <c r="J13" s="2">
        <f t="shared" si="0"/>
        <v>1.0095117603082411</v>
      </c>
      <c r="K13" s="1" t="s">
        <v>60</v>
      </c>
      <c r="L13" s="1">
        <v>1800.47643399238</v>
      </c>
      <c r="M13" s="1">
        <v>0.61191868782043402</v>
      </c>
      <c r="N13" s="1">
        <v>1800.90272688865</v>
      </c>
      <c r="O13">
        <v>571</v>
      </c>
      <c r="P13">
        <v>649</v>
      </c>
    </row>
    <row r="14" spans="1:16" x14ac:dyDescent="0.35">
      <c r="A14">
        <v>10</v>
      </c>
      <c r="B14">
        <v>0.2</v>
      </c>
      <c r="C14">
        <v>0</v>
      </c>
      <c r="D14" s="3">
        <v>8</v>
      </c>
      <c r="E14" s="1" t="s">
        <v>60</v>
      </c>
      <c r="F14" s="4">
        <v>505.51100000000002</v>
      </c>
      <c r="G14" s="1">
        <v>506.51100000000002</v>
      </c>
      <c r="H14" s="4">
        <v>506.12799999999999</v>
      </c>
      <c r="I14" s="1">
        <v>508.661</v>
      </c>
      <c r="J14" s="2">
        <f t="shared" si="0"/>
        <v>1.0062313184085014</v>
      </c>
      <c r="K14" s="1" t="s">
        <v>60</v>
      </c>
      <c r="L14" s="1">
        <v>1800.33148503303</v>
      </c>
      <c r="M14" s="1">
        <v>6.2172524929046604</v>
      </c>
      <c r="N14" s="1">
        <v>1800.63965773582</v>
      </c>
      <c r="O14">
        <v>2604</v>
      </c>
      <c r="P14">
        <v>2157</v>
      </c>
    </row>
    <row r="15" spans="1:16" x14ac:dyDescent="0.35">
      <c r="B15">
        <v>0.5</v>
      </c>
      <c r="C15">
        <v>0</v>
      </c>
      <c r="D15" s="3">
        <v>36</v>
      </c>
      <c r="E15" s="1" t="s">
        <v>60</v>
      </c>
      <c r="F15" s="4">
        <v>260.93299999999999</v>
      </c>
      <c r="G15" s="1">
        <v>263.10300000000001</v>
      </c>
      <c r="H15" s="4">
        <v>262.97000000000003</v>
      </c>
      <c r="I15" s="1">
        <v>262.8</v>
      </c>
      <c r="J15" s="2">
        <f t="shared" si="0"/>
        <v>1.0071550934531088</v>
      </c>
      <c r="K15" s="1" t="s">
        <v>60</v>
      </c>
      <c r="L15" s="1">
        <v>1800.8560476303101</v>
      </c>
      <c r="M15" s="1">
        <v>2.5581412315368599</v>
      </c>
      <c r="N15" s="1">
        <v>1801.0244317054701</v>
      </c>
      <c r="O15">
        <v>583</v>
      </c>
      <c r="P15">
        <v>608</v>
      </c>
    </row>
    <row r="16" spans="1:16" x14ac:dyDescent="0.35">
      <c r="B16">
        <v>0.8</v>
      </c>
      <c r="C16">
        <v>0</v>
      </c>
      <c r="D16" s="3">
        <v>54</v>
      </c>
      <c r="E16" s="1" t="s">
        <v>60</v>
      </c>
      <c r="F16" s="4">
        <v>141.21100000000001</v>
      </c>
      <c r="G16" s="1">
        <v>143.04300000000001</v>
      </c>
      <c r="H16" s="4">
        <v>142.90100000000001</v>
      </c>
      <c r="I16" s="1">
        <v>143.91</v>
      </c>
      <c r="J16" s="2">
        <f t="shared" si="0"/>
        <v>1.0191132418862552</v>
      </c>
      <c r="K16" s="1" t="s">
        <v>60</v>
      </c>
      <c r="L16" s="1">
        <v>1800.8357799053099</v>
      </c>
      <c r="M16" s="1">
        <v>1.0895791053771899</v>
      </c>
      <c r="N16" s="1">
        <v>1800.6426281929</v>
      </c>
      <c r="O16">
        <v>1584</v>
      </c>
      <c r="P16">
        <v>1653</v>
      </c>
    </row>
    <row r="17" spans="1:16" x14ac:dyDescent="0.35">
      <c r="A17">
        <v>15</v>
      </c>
      <c r="B17">
        <v>0.2</v>
      </c>
      <c r="C17">
        <v>0</v>
      </c>
      <c r="D17" s="3">
        <v>13</v>
      </c>
      <c r="E17" s="1" t="s">
        <v>60</v>
      </c>
      <c r="F17" s="4">
        <v>1058.105</v>
      </c>
      <c r="G17" s="1">
        <v>1061.26541614591</v>
      </c>
      <c r="H17" s="4">
        <v>1060.7725607095401</v>
      </c>
      <c r="I17" s="1">
        <v>1058.8050000000001</v>
      </c>
      <c r="J17" s="2">
        <f t="shared" si="0"/>
        <v>1.0006615600531139</v>
      </c>
      <c r="K17" s="1" t="s">
        <v>60</v>
      </c>
      <c r="L17" s="1">
        <v>1800.50368857383</v>
      </c>
      <c r="M17" s="1">
        <v>12.881396055221501</v>
      </c>
      <c r="N17" s="1">
        <v>1801.4521501064301</v>
      </c>
      <c r="O17">
        <v>344</v>
      </c>
      <c r="P17">
        <v>254</v>
      </c>
    </row>
    <row r="18" spans="1:16" x14ac:dyDescent="0.35">
      <c r="B18">
        <v>0.5</v>
      </c>
      <c r="C18">
        <v>0</v>
      </c>
      <c r="D18" s="3">
        <v>31</v>
      </c>
      <c r="E18" s="1" t="s">
        <v>60</v>
      </c>
      <c r="F18" s="4">
        <v>600.351</v>
      </c>
      <c r="G18" s="1">
        <v>605.302698482908</v>
      </c>
      <c r="H18" s="4">
        <v>605.16600000000005</v>
      </c>
      <c r="I18" s="1">
        <v>604.17899999999997</v>
      </c>
      <c r="J18" s="2">
        <f t="shared" si="0"/>
        <v>1.0063762698821188</v>
      </c>
      <c r="K18" s="1" t="s">
        <v>60</v>
      </c>
      <c r="L18" s="1">
        <v>1800.8462495803799</v>
      </c>
      <c r="M18" s="1">
        <v>11.276548862457201</v>
      </c>
      <c r="N18" s="1">
        <v>1801.4652197360899</v>
      </c>
      <c r="O18">
        <v>461</v>
      </c>
      <c r="P18">
        <v>755</v>
      </c>
    </row>
    <row r="19" spans="1:16" x14ac:dyDescent="0.35">
      <c r="B19">
        <v>0.8</v>
      </c>
      <c r="C19">
        <v>0</v>
      </c>
      <c r="D19" s="3">
        <v>35</v>
      </c>
      <c r="E19" s="1" t="s">
        <v>60</v>
      </c>
      <c r="F19" s="4">
        <v>255.34299999999999</v>
      </c>
      <c r="G19" s="1">
        <v>258.346</v>
      </c>
      <c r="H19" s="1">
        <v>258.28500000000003</v>
      </c>
      <c r="I19" s="1">
        <v>257.74</v>
      </c>
      <c r="J19" s="2">
        <f t="shared" si="0"/>
        <v>1.0093873730628997</v>
      </c>
      <c r="K19" s="1" t="s">
        <v>60</v>
      </c>
      <c r="L19" s="1">
        <v>1800.6890108585301</v>
      </c>
      <c r="M19" s="1">
        <v>9.0600333213806099</v>
      </c>
      <c r="N19" s="1">
        <v>1801.5831964015899</v>
      </c>
      <c r="O19">
        <v>325</v>
      </c>
      <c r="P19">
        <v>822</v>
      </c>
    </row>
    <row r="20" spans="1:16" x14ac:dyDescent="0.35">
      <c r="A20">
        <v>20</v>
      </c>
      <c r="B20">
        <v>0.2</v>
      </c>
      <c r="C20">
        <v>0</v>
      </c>
      <c r="D20" s="3">
        <v>13</v>
      </c>
      <c r="E20" s="1" t="s">
        <v>60</v>
      </c>
      <c r="F20" s="4">
        <v>1689.4860000000001</v>
      </c>
      <c r="G20" s="1">
        <v>1694.35247137745</v>
      </c>
      <c r="H20" s="4">
        <v>1693.88064370746</v>
      </c>
      <c r="I20" s="1">
        <v>1689.875</v>
      </c>
      <c r="J20" s="2">
        <f t="shared" si="0"/>
        <v>1.0002302475427438</v>
      </c>
      <c r="K20" s="1" t="s">
        <v>60</v>
      </c>
      <c r="L20" s="1">
        <v>1801.55504894256</v>
      </c>
      <c r="M20" s="1">
        <v>12.915781974792401</v>
      </c>
      <c r="N20" s="1">
        <v>1800.56051087379</v>
      </c>
      <c r="O20">
        <v>279</v>
      </c>
      <c r="P20">
        <v>372</v>
      </c>
    </row>
    <row r="21" spans="1:16" x14ac:dyDescent="0.35">
      <c r="B21">
        <v>0.5</v>
      </c>
      <c r="C21">
        <v>0</v>
      </c>
      <c r="D21" s="3">
        <v>15</v>
      </c>
      <c r="E21" s="1" t="s">
        <v>60</v>
      </c>
      <c r="F21" s="4">
        <v>1120.3689999999999</v>
      </c>
      <c r="G21" s="1">
        <v>1129.0007040953599</v>
      </c>
      <c r="H21" s="1">
        <v>1128.99822441332</v>
      </c>
      <c r="I21" s="1">
        <v>1126.248</v>
      </c>
      <c r="J21" s="2">
        <f t="shared" si="0"/>
        <v>1.0052473783191074</v>
      </c>
      <c r="K21" s="1" t="s">
        <v>60</v>
      </c>
      <c r="L21" s="1">
        <v>1800.7316303253101</v>
      </c>
      <c r="M21" s="1">
        <v>3.7755053043365399</v>
      </c>
      <c r="N21" s="1">
        <v>1800.7728860378199</v>
      </c>
      <c r="O21">
        <v>215</v>
      </c>
      <c r="P21">
        <v>514</v>
      </c>
    </row>
    <row r="22" spans="1:16" x14ac:dyDescent="0.35">
      <c r="B22">
        <v>0.8</v>
      </c>
      <c r="C22">
        <v>0</v>
      </c>
      <c r="D22" s="3">
        <v>14</v>
      </c>
      <c r="E22" s="1" t="s">
        <v>60</v>
      </c>
      <c r="F22" s="4">
        <v>610.82899999999995</v>
      </c>
      <c r="G22" s="1">
        <v>615.50155016939402</v>
      </c>
      <c r="H22" s="4">
        <v>615.16999999999996</v>
      </c>
      <c r="I22" s="1">
        <v>612.83500000000004</v>
      </c>
      <c r="J22" s="2">
        <f t="shared" si="0"/>
        <v>1.0032840614967529</v>
      </c>
      <c r="K22" s="1" t="s">
        <v>60</v>
      </c>
      <c r="L22" s="1">
        <v>1800.6057116985301</v>
      </c>
      <c r="M22" s="1">
        <v>3.02465367317199</v>
      </c>
      <c r="N22" s="1">
        <v>1800.76461172103</v>
      </c>
      <c r="O22">
        <v>348</v>
      </c>
      <c r="P22">
        <v>395</v>
      </c>
    </row>
    <row r="23" spans="1:16" x14ac:dyDescent="0.35">
      <c r="A23">
        <v>25</v>
      </c>
      <c r="B23">
        <v>0.2</v>
      </c>
      <c r="C23">
        <v>0</v>
      </c>
      <c r="D23" s="3">
        <v>8</v>
      </c>
      <c r="E23" s="1" t="s">
        <v>60</v>
      </c>
      <c r="F23" s="4">
        <v>2627.422</v>
      </c>
      <c r="G23" s="1">
        <v>2637.5023622696399</v>
      </c>
      <c r="H23" s="4">
        <v>2637.1495169804903</v>
      </c>
      <c r="I23" s="1">
        <v>2628.1480000000001</v>
      </c>
      <c r="J23" s="2">
        <f t="shared" si="0"/>
        <v>1.0002763164805655</v>
      </c>
      <c r="K23" s="1" t="s">
        <v>60</v>
      </c>
      <c r="L23" s="1">
        <v>1800.8643925189899</v>
      </c>
      <c r="M23" s="1">
        <v>17.264923810958798</v>
      </c>
      <c r="N23" s="1">
        <v>1801.05381202697</v>
      </c>
      <c r="O23">
        <v>309</v>
      </c>
      <c r="P23">
        <v>355</v>
      </c>
    </row>
    <row r="24" spans="1:16" x14ac:dyDescent="0.35">
      <c r="B24">
        <v>0.5</v>
      </c>
      <c r="C24">
        <v>0</v>
      </c>
      <c r="D24" s="3">
        <v>10</v>
      </c>
      <c r="E24" s="1" t="s">
        <v>60</v>
      </c>
      <c r="F24" s="4">
        <v>1827.527</v>
      </c>
      <c r="G24" s="1">
        <v>1838.6435361767199</v>
      </c>
      <c r="H24" s="4">
        <v>1838.43936883631</v>
      </c>
      <c r="I24" s="1">
        <v>1833.3040000000001</v>
      </c>
      <c r="J24" s="2">
        <f t="shared" si="0"/>
        <v>1.0031611024077893</v>
      </c>
      <c r="K24" s="1" t="s">
        <v>60</v>
      </c>
      <c r="L24" s="1">
        <v>1800.66104459762</v>
      </c>
      <c r="M24" s="1">
        <v>5.6397986412048304</v>
      </c>
      <c r="N24" s="1">
        <v>1800.9729650020599</v>
      </c>
      <c r="O24">
        <v>290</v>
      </c>
      <c r="P24">
        <v>447</v>
      </c>
    </row>
    <row r="25" spans="1:16" x14ac:dyDescent="0.35">
      <c r="B25">
        <v>0.8</v>
      </c>
      <c r="C25">
        <v>0</v>
      </c>
      <c r="D25" s="3">
        <v>12</v>
      </c>
      <c r="E25" s="1" t="s">
        <v>60</v>
      </c>
      <c r="F25" s="4">
        <v>706.572</v>
      </c>
      <c r="G25" s="1">
        <v>714.46900000000005</v>
      </c>
      <c r="H25" s="1">
        <v>714.46658482245095</v>
      </c>
      <c r="I25" s="1">
        <v>711.50599999999997</v>
      </c>
      <c r="J25" s="2">
        <f t="shared" si="0"/>
        <v>1.0069830109316531</v>
      </c>
      <c r="K25" s="1" t="s">
        <v>60</v>
      </c>
      <c r="L25" s="1">
        <v>1801.3905811309801</v>
      </c>
      <c r="M25" s="1">
        <v>3.9396474361419598</v>
      </c>
      <c r="N25" s="1">
        <v>1800.8678283691399</v>
      </c>
      <c r="O25">
        <v>332</v>
      </c>
      <c r="P25">
        <v>547</v>
      </c>
    </row>
    <row r="26" spans="1:16" x14ac:dyDescent="0.35">
      <c r="A26">
        <v>30</v>
      </c>
      <c r="B26">
        <v>0.2</v>
      </c>
      <c r="C26">
        <v>0</v>
      </c>
      <c r="D26" s="3">
        <v>7</v>
      </c>
      <c r="E26" s="1" t="s">
        <v>60</v>
      </c>
      <c r="F26" s="4">
        <v>3331.6039999999998</v>
      </c>
      <c r="G26" s="1">
        <v>3356.92580280216</v>
      </c>
      <c r="H26" s="4">
        <v>3356.80217786925</v>
      </c>
      <c r="I26" s="1">
        <v>3351.221</v>
      </c>
      <c r="J26" s="2">
        <f t="shared" si="0"/>
        <v>1.0058881547746972</v>
      </c>
      <c r="K26" s="1" t="s">
        <v>60</v>
      </c>
      <c r="L26" s="1">
        <v>1800.7190647125201</v>
      </c>
      <c r="M26" s="1">
        <v>26.3129751682281</v>
      </c>
      <c r="N26" s="1">
        <v>1802.85377693176</v>
      </c>
      <c r="O26">
        <v>197</v>
      </c>
      <c r="P26">
        <v>397</v>
      </c>
    </row>
    <row r="27" spans="1:16" x14ac:dyDescent="0.35">
      <c r="B27">
        <v>0.5</v>
      </c>
      <c r="C27">
        <v>0</v>
      </c>
      <c r="D27" s="3">
        <v>9</v>
      </c>
      <c r="E27" s="1" t="s">
        <v>60</v>
      </c>
      <c r="F27" s="4">
        <v>2528.6619999999998</v>
      </c>
      <c r="G27" s="1">
        <v>2545.0635389459399</v>
      </c>
      <c r="H27" s="4">
        <v>2544.7380524646901</v>
      </c>
      <c r="I27" s="1">
        <v>2535.3470000000002</v>
      </c>
      <c r="J27" s="2">
        <f t="shared" si="0"/>
        <v>1.0026436906158278</v>
      </c>
      <c r="K27" s="1" t="s">
        <v>60</v>
      </c>
      <c r="L27" s="1">
        <v>1800.8455049991601</v>
      </c>
      <c r="M27" s="1">
        <v>8.3954119682311994</v>
      </c>
      <c r="N27" s="1">
        <v>1801.31254053115</v>
      </c>
      <c r="O27">
        <v>357</v>
      </c>
      <c r="P27">
        <v>475</v>
      </c>
    </row>
    <row r="28" spans="1:16" x14ac:dyDescent="0.35">
      <c r="B28">
        <v>0.8</v>
      </c>
      <c r="C28">
        <v>0</v>
      </c>
      <c r="D28" s="3">
        <v>11</v>
      </c>
      <c r="E28" s="1" t="s">
        <v>60</v>
      </c>
      <c r="F28" s="4">
        <v>1095.662</v>
      </c>
      <c r="G28" s="1">
        <v>1109.8560525313799</v>
      </c>
      <c r="H28" s="4">
        <v>1109.7143147756899</v>
      </c>
      <c r="I28" s="1">
        <v>1104.588</v>
      </c>
      <c r="J28" s="2">
        <f t="shared" si="0"/>
        <v>1.0081466729703137</v>
      </c>
      <c r="K28" s="1" t="s">
        <v>60</v>
      </c>
      <c r="L28" s="1">
        <v>1800.9223611354801</v>
      </c>
      <c r="M28" s="1">
        <v>4.6951794624328604</v>
      </c>
      <c r="N28" s="1">
        <v>1800.96449160575</v>
      </c>
      <c r="O28">
        <v>312</v>
      </c>
      <c r="P28">
        <v>586</v>
      </c>
    </row>
    <row r="29" spans="1:16" x14ac:dyDescent="0.35">
      <c r="C29">
        <f>SUM(C2:C28)</f>
        <v>14</v>
      </c>
      <c r="D29">
        <f>SUM(D2:D28)</f>
        <v>719</v>
      </c>
      <c r="J29" s="2">
        <f>AVERAGE(J2:J28)</f>
        <v>1.0100537807350856</v>
      </c>
      <c r="O29" s="1">
        <f>AVERAGE(O2:O28)</f>
        <v>1206.7037037037037</v>
      </c>
      <c r="P29" s="1">
        <f>AVERAGE(P2:P28)</f>
        <v>1012.0370370370371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9623-5631-4F2F-BE4B-2048A5C8F404}">
  <dimension ref="A1:L29"/>
  <sheetViews>
    <sheetView tabSelected="1" workbookViewId="0">
      <selection activeCell="R22" sqref="R22"/>
    </sheetView>
  </sheetViews>
  <sheetFormatPr defaultRowHeight="14.5" x14ac:dyDescent="0.35"/>
  <sheetData>
    <row r="1" spans="1:12" x14ac:dyDescent="0.35">
      <c r="A1" t="s">
        <v>1</v>
      </c>
      <c r="B1" t="s">
        <v>3</v>
      </c>
      <c r="C1" t="s">
        <v>24</v>
      </c>
      <c r="D1" t="s">
        <v>25</v>
      </c>
      <c r="E1" t="s">
        <v>9</v>
      </c>
      <c r="F1" t="s">
        <v>59</v>
      </c>
      <c r="G1" t="s">
        <v>8</v>
      </c>
      <c r="H1" t="s">
        <v>11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5">
      <c r="A2">
        <v>2</v>
      </c>
      <c r="B2">
        <v>0.2</v>
      </c>
      <c r="C2" s="1">
        <v>18.449000000000002</v>
      </c>
      <c r="D2" s="1">
        <v>18.515999999999998</v>
      </c>
      <c r="E2" s="1">
        <v>18.722999999999999</v>
      </c>
      <c r="F2" s="2">
        <f>E2/MAX(C2,D2)</f>
        <v>1.0111795204147764</v>
      </c>
      <c r="G2" s="1">
        <v>18.515999999999998</v>
      </c>
      <c r="H2" s="1">
        <v>18.515999999999998</v>
      </c>
      <c r="I2" s="1">
        <v>0.11638975143432601</v>
      </c>
      <c r="J2" s="1">
        <v>0.606467485427856</v>
      </c>
      <c r="K2">
        <v>3</v>
      </c>
      <c r="L2">
        <v>2</v>
      </c>
    </row>
    <row r="3" spans="1:12" x14ac:dyDescent="0.35">
      <c r="B3">
        <v>0.5</v>
      </c>
      <c r="C3" s="1">
        <v>17.588999999999999</v>
      </c>
      <c r="D3" s="1">
        <v>18.271000000000001</v>
      </c>
      <c r="E3" s="1">
        <v>18.300999999999998</v>
      </c>
      <c r="F3" s="2">
        <f t="shared" ref="F3:F28" si="0">E3/MAX(C3,D3)</f>
        <v>1.0016419462536259</v>
      </c>
      <c r="G3" s="1">
        <v>18.271000000000001</v>
      </c>
      <c r="H3" s="1">
        <v>18.271000000000001</v>
      </c>
      <c r="I3" s="1">
        <v>3.5474777221679597E-2</v>
      </c>
      <c r="J3" s="1">
        <v>0.415836572647094</v>
      </c>
      <c r="K3">
        <v>3</v>
      </c>
      <c r="L3">
        <v>2</v>
      </c>
    </row>
    <row r="4" spans="1:12" x14ac:dyDescent="0.35">
      <c r="B4">
        <v>0.8</v>
      </c>
      <c r="C4" s="1">
        <v>8.14</v>
      </c>
      <c r="D4" s="1">
        <v>8.1790000000000003</v>
      </c>
      <c r="E4" s="1">
        <v>8.3569999999999993</v>
      </c>
      <c r="F4" s="2">
        <f t="shared" si="0"/>
        <v>1.0217630517178138</v>
      </c>
      <c r="G4" s="1">
        <v>8.3019999999999996</v>
      </c>
      <c r="H4" s="1">
        <v>8.3019999999999996</v>
      </c>
      <c r="I4" s="1">
        <v>2.7857065200805602E-2</v>
      </c>
      <c r="J4" s="1">
        <v>0.38396215438842701</v>
      </c>
      <c r="K4">
        <v>3</v>
      </c>
      <c r="L4">
        <v>2</v>
      </c>
    </row>
    <row r="5" spans="1:12" x14ac:dyDescent="0.35">
      <c r="A5">
        <v>3</v>
      </c>
      <c r="B5">
        <v>0.2</v>
      </c>
      <c r="C5" s="1">
        <v>37.152999999999999</v>
      </c>
      <c r="D5" s="1">
        <v>37.456000000000003</v>
      </c>
      <c r="E5" s="1">
        <v>37.826000000000001</v>
      </c>
      <c r="F5" s="2">
        <f t="shared" si="0"/>
        <v>1.009878257155062</v>
      </c>
      <c r="G5" s="1">
        <v>37.606999999999999</v>
      </c>
      <c r="H5" s="1">
        <v>37.606999999999999</v>
      </c>
      <c r="I5" s="1">
        <v>0.32822418212890597</v>
      </c>
      <c r="J5" s="1">
        <v>3.09674715995788</v>
      </c>
      <c r="K5">
        <v>4</v>
      </c>
      <c r="L5">
        <v>3</v>
      </c>
    </row>
    <row r="6" spans="1:12" x14ac:dyDescent="0.35">
      <c r="B6">
        <v>0.5</v>
      </c>
      <c r="C6" s="1">
        <v>31.815999999999999</v>
      </c>
      <c r="D6" s="1">
        <v>32.414999999999999</v>
      </c>
      <c r="E6" s="1">
        <v>32.765999999999998</v>
      </c>
      <c r="F6" s="2">
        <f t="shared" si="0"/>
        <v>1.0108283202221193</v>
      </c>
      <c r="G6" s="1">
        <v>32.673000000000002</v>
      </c>
      <c r="H6" s="1">
        <v>32.673000000000002</v>
      </c>
      <c r="I6" s="1">
        <v>6.7655801773071206E-2</v>
      </c>
      <c r="J6" s="1">
        <v>1.9615328311920099</v>
      </c>
      <c r="K6">
        <v>3</v>
      </c>
      <c r="L6">
        <v>3</v>
      </c>
    </row>
    <row r="7" spans="1:12" x14ac:dyDescent="0.35">
      <c r="B7">
        <v>0.8</v>
      </c>
      <c r="C7" s="1">
        <v>14.473000000000001</v>
      </c>
      <c r="D7" s="1">
        <v>14.760999999999999</v>
      </c>
      <c r="E7" s="1">
        <v>15.164</v>
      </c>
      <c r="F7" s="2">
        <f t="shared" si="0"/>
        <v>1.0273016733283653</v>
      </c>
      <c r="G7" s="5">
        <v>14.8</v>
      </c>
      <c r="H7" s="5">
        <v>14.8</v>
      </c>
      <c r="I7" s="1">
        <v>4.8323869705200098E-2</v>
      </c>
      <c r="J7" s="1">
        <v>0.40308403968811002</v>
      </c>
      <c r="K7">
        <v>4</v>
      </c>
      <c r="L7">
        <v>2</v>
      </c>
    </row>
    <row r="8" spans="1:12" x14ac:dyDescent="0.35">
      <c r="A8">
        <v>5</v>
      </c>
      <c r="B8">
        <v>0.2</v>
      </c>
      <c r="C8" s="1">
        <v>129.18299999999999</v>
      </c>
      <c r="D8" s="1">
        <v>131.29599999999999</v>
      </c>
      <c r="E8" s="1">
        <v>131.29599999999999</v>
      </c>
      <c r="F8" s="2">
        <f t="shared" si="0"/>
        <v>1</v>
      </c>
      <c r="G8" s="5">
        <v>131.29599999999999</v>
      </c>
      <c r="H8" s="5">
        <v>131.30000000000001</v>
      </c>
      <c r="I8" s="1">
        <v>0.88005423545837402</v>
      </c>
      <c r="J8" s="1">
        <v>46.961534500121999</v>
      </c>
      <c r="K8">
        <v>4</v>
      </c>
      <c r="L8">
        <v>1</v>
      </c>
    </row>
    <row r="9" spans="1:12" x14ac:dyDescent="0.35">
      <c r="B9">
        <v>0.5</v>
      </c>
      <c r="C9" s="1">
        <v>59.572000000000003</v>
      </c>
      <c r="D9" s="1">
        <v>59.997999999999998</v>
      </c>
      <c r="E9" s="1">
        <v>61.424999999999997</v>
      </c>
      <c r="F9" s="2">
        <f t="shared" si="0"/>
        <v>1.023784126137538</v>
      </c>
      <c r="G9" s="5">
        <v>60.572000000000003</v>
      </c>
      <c r="H9" s="5">
        <v>60.966999999999999</v>
      </c>
      <c r="I9" s="1">
        <v>0.76933550834655695</v>
      </c>
      <c r="J9" s="1">
        <v>33.523033618927002</v>
      </c>
      <c r="K9">
        <v>7</v>
      </c>
      <c r="L9">
        <v>3</v>
      </c>
    </row>
    <row r="10" spans="1:12" x14ac:dyDescent="0.35">
      <c r="B10">
        <v>0.8</v>
      </c>
      <c r="C10" s="1">
        <v>27.038</v>
      </c>
      <c r="D10" s="1">
        <v>27.170999999999999</v>
      </c>
      <c r="E10" s="1">
        <v>29.309000000000001</v>
      </c>
      <c r="F10" s="2">
        <f t="shared" si="0"/>
        <v>1.0786868352287367</v>
      </c>
      <c r="G10" s="5">
        <v>27.343</v>
      </c>
      <c r="H10" s="5">
        <v>27.343</v>
      </c>
      <c r="I10" s="1">
        <v>0.13942193984985299</v>
      </c>
      <c r="J10" s="1">
        <v>2.0367865562438898</v>
      </c>
      <c r="K10">
        <v>4</v>
      </c>
      <c r="L10">
        <v>3</v>
      </c>
    </row>
    <row r="11" spans="1:12" x14ac:dyDescent="0.35">
      <c r="A11">
        <v>8</v>
      </c>
      <c r="B11">
        <v>0.2</v>
      </c>
      <c r="C11" s="1">
        <v>289.83199999999999</v>
      </c>
      <c r="D11" s="1">
        <v>294.78199999999998</v>
      </c>
      <c r="E11" s="1">
        <v>295.13200000000001</v>
      </c>
      <c r="F11" s="2">
        <f t="shared" si="0"/>
        <v>1.0011873180859077</v>
      </c>
      <c r="G11" s="5">
        <v>295.125</v>
      </c>
      <c r="H11" s="5">
        <v>295.39800000000002</v>
      </c>
      <c r="I11" s="1">
        <v>3.9904577732086102</v>
      </c>
      <c r="J11" s="1">
        <v>301.08733820915199</v>
      </c>
      <c r="K11">
        <v>8</v>
      </c>
      <c r="L11">
        <v>2</v>
      </c>
    </row>
    <row r="12" spans="1:12" x14ac:dyDescent="0.35">
      <c r="B12">
        <v>0.5</v>
      </c>
      <c r="C12" s="1">
        <v>110.456</v>
      </c>
      <c r="D12" s="1">
        <v>112.111</v>
      </c>
      <c r="E12" s="1">
        <v>116.68600000000001</v>
      </c>
      <c r="F12" s="2">
        <f t="shared" si="0"/>
        <v>1.0408077708699415</v>
      </c>
      <c r="G12" s="5">
        <v>112.367</v>
      </c>
      <c r="H12" s="5">
        <v>114.00700000000001</v>
      </c>
      <c r="I12" s="1">
        <v>0.85968255996704102</v>
      </c>
      <c r="J12" s="1">
        <v>235.09808301925599</v>
      </c>
      <c r="K12">
        <v>6</v>
      </c>
      <c r="L12">
        <v>5</v>
      </c>
    </row>
    <row r="13" spans="1:12" x14ac:dyDescent="0.35">
      <c r="B13">
        <v>0.8</v>
      </c>
      <c r="C13" s="1">
        <v>85.563999999999993</v>
      </c>
      <c r="D13" s="1">
        <v>86.608000000000004</v>
      </c>
      <c r="E13" s="1">
        <v>87.772000000000006</v>
      </c>
      <c r="F13" s="2">
        <f t="shared" si="0"/>
        <v>1.0134398669868834</v>
      </c>
      <c r="G13" s="5">
        <v>86.944999999999993</v>
      </c>
      <c r="H13" s="5">
        <v>87.620999999999995</v>
      </c>
      <c r="I13" s="1">
        <v>0.330913305282592</v>
      </c>
      <c r="J13" s="1">
        <v>25.824915885925201</v>
      </c>
      <c r="K13">
        <v>7</v>
      </c>
      <c r="L13">
        <v>4</v>
      </c>
    </row>
    <row r="14" spans="1:12" x14ac:dyDescent="0.35">
      <c r="A14">
        <v>10</v>
      </c>
      <c r="B14">
        <v>0.2</v>
      </c>
      <c r="C14" s="1">
        <v>500.52499999999998</v>
      </c>
      <c r="D14" s="1">
        <v>504.64499999999998</v>
      </c>
      <c r="E14" s="1">
        <v>508.661</v>
      </c>
      <c r="F14" s="2">
        <f t="shared" si="0"/>
        <v>1.0079580695340289</v>
      </c>
      <c r="G14" s="5">
        <v>505.51100000000002</v>
      </c>
      <c r="H14" s="5">
        <v>506.12799999999999</v>
      </c>
      <c r="I14" s="1">
        <v>6.1336483955383301</v>
      </c>
      <c r="J14" s="1">
        <v>302.50089526176401</v>
      </c>
      <c r="K14">
        <v>8</v>
      </c>
      <c r="L14">
        <v>3</v>
      </c>
    </row>
    <row r="15" spans="1:12" x14ac:dyDescent="0.35">
      <c r="B15">
        <v>0.5</v>
      </c>
      <c r="C15" s="1">
        <v>254.982</v>
      </c>
      <c r="D15" s="1">
        <v>260.44099999999997</v>
      </c>
      <c r="E15" s="1">
        <v>262.8</v>
      </c>
      <c r="F15" s="2">
        <f t="shared" si="0"/>
        <v>1.009057713647237</v>
      </c>
      <c r="G15" s="5">
        <v>260.93299999999999</v>
      </c>
      <c r="H15" s="5">
        <v>262.97000000000003</v>
      </c>
      <c r="I15" s="1">
        <v>1.0343999862670801</v>
      </c>
      <c r="J15" s="1">
        <v>302.27475094795199</v>
      </c>
      <c r="K15">
        <v>7</v>
      </c>
      <c r="L15">
        <v>4</v>
      </c>
    </row>
    <row r="16" spans="1:12" x14ac:dyDescent="0.35">
      <c r="B16">
        <v>0.8</v>
      </c>
      <c r="C16" s="1">
        <v>139.49</v>
      </c>
      <c r="D16" s="1">
        <v>141.61000000000001</v>
      </c>
      <c r="E16" s="1">
        <v>143.91</v>
      </c>
      <c r="F16" s="2">
        <f t="shared" si="0"/>
        <v>1.0162417908339805</v>
      </c>
      <c r="G16" s="5">
        <v>141.21100000000001</v>
      </c>
      <c r="H16" s="5">
        <v>142.90100000000001</v>
      </c>
      <c r="I16" s="1">
        <v>0.48499965667724598</v>
      </c>
      <c r="J16" s="1">
        <v>301.322125196456</v>
      </c>
      <c r="K16">
        <v>7</v>
      </c>
      <c r="L16">
        <v>5</v>
      </c>
    </row>
    <row r="17" spans="1:12" x14ac:dyDescent="0.35">
      <c r="A17">
        <v>15</v>
      </c>
      <c r="B17">
        <v>0.2</v>
      </c>
      <c r="C17" s="1">
        <v>1050.163</v>
      </c>
      <c r="D17" s="1">
        <v>1057.374</v>
      </c>
      <c r="E17" s="1">
        <v>1058.8050000000001</v>
      </c>
      <c r="F17" s="2">
        <f t="shared" si="0"/>
        <v>1.001353352739901</v>
      </c>
      <c r="G17" s="5">
        <v>1058.105</v>
      </c>
      <c r="H17" s="5">
        <v>1060.7725607095401</v>
      </c>
      <c r="I17" s="1">
        <v>6.4544780254363996</v>
      </c>
      <c r="J17" s="1">
        <v>302.84883570671002</v>
      </c>
      <c r="K17">
        <v>8</v>
      </c>
      <c r="L17">
        <v>3</v>
      </c>
    </row>
    <row r="18" spans="1:12" x14ac:dyDescent="0.35">
      <c r="B18">
        <v>0.5</v>
      </c>
      <c r="C18" s="1">
        <v>583.05700000000002</v>
      </c>
      <c r="D18" s="1">
        <v>599.74900000000002</v>
      </c>
      <c r="E18" s="1">
        <v>604.17899999999997</v>
      </c>
      <c r="F18" s="2">
        <f t="shared" si="0"/>
        <v>1.0073864233204224</v>
      </c>
      <c r="G18" s="5">
        <v>600.351</v>
      </c>
      <c r="H18" s="5">
        <v>605.16600000000005</v>
      </c>
      <c r="I18" s="1">
        <v>1.87550044059753</v>
      </c>
      <c r="J18" s="1">
        <v>304.14069843292202</v>
      </c>
      <c r="K18">
        <v>9</v>
      </c>
      <c r="L18">
        <v>6</v>
      </c>
    </row>
    <row r="19" spans="1:12" x14ac:dyDescent="0.35">
      <c r="B19">
        <v>0.8</v>
      </c>
      <c r="C19" s="1">
        <v>246.42400000000001</v>
      </c>
      <c r="D19" s="1">
        <v>254.18</v>
      </c>
      <c r="E19" s="1">
        <v>257.74</v>
      </c>
      <c r="F19" s="2">
        <f t="shared" si="0"/>
        <v>1.0140058226453694</v>
      </c>
      <c r="G19" s="5">
        <v>255.34299999999999</v>
      </c>
      <c r="H19" s="5">
        <v>258.28500000000003</v>
      </c>
      <c r="I19" s="1">
        <v>0.80251479148864702</v>
      </c>
      <c r="J19" s="1">
        <v>302.36906814575099</v>
      </c>
      <c r="K19">
        <v>8</v>
      </c>
      <c r="L19">
        <v>6</v>
      </c>
    </row>
    <row r="20" spans="1:12" x14ac:dyDescent="0.35">
      <c r="A20">
        <v>20</v>
      </c>
      <c r="B20">
        <v>0.2</v>
      </c>
      <c r="C20" s="1">
        <v>1663.4839999999999</v>
      </c>
      <c r="D20" s="1">
        <v>1688.0350000000001</v>
      </c>
      <c r="E20" s="1">
        <v>1689.875</v>
      </c>
      <c r="F20" s="2">
        <f t="shared" si="0"/>
        <v>1.0010900247921399</v>
      </c>
      <c r="G20" s="5">
        <v>1689.4860000000001</v>
      </c>
      <c r="H20" s="5">
        <v>1693.88064370746</v>
      </c>
      <c r="I20" s="1">
        <v>8.62850022315979</v>
      </c>
      <c r="J20" s="1">
        <v>303.248859167099</v>
      </c>
      <c r="K20">
        <v>10</v>
      </c>
      <c r="L20">
        <v>4</v>
      </c>
    </row>
    <row r="21" spans="1:12" x14ac:dyDescent="0.35">
      <c r="B21">
        <v>0.5</v>
      </c>
      <c r="C21" s="1">
        <v>1103.405</v>
      </c>
      <c r="D21" s="1">
        <v>1120.5519999999999</v>
      </c>
      <c r="E21" s="1">
        <v>1126.248</v>
      </c>
      <c r="F21" s="2">
        <f t="shared" si="0"/>
        <v>1.0050832089898551</v>
      </c>
      <c r="G21" s="5">
        <v>1120.3689999999999</v>
      </c>
      <c r="H21" s="5">
        <v>1128.99822441332</v>
      </c>
      <c r="I21" s="1">
        <v>2.2017631530761701</v>
      </c>
      <c r="J21" s="1">
        <v>302.79896569252003</v>
      </c>
      <c r="K21">
        <v>13</v>
      </c>
      <c r="L21">
        <v>7</v>
      </c>
    </row>
    <row r="22" spans="1:12" x14ac:dyDescent="0.35">
      <c r="B22">
        <v>0.8</v>
      </c>
      <c r="C22" s="1">
        <v>598.55600000000004</v>
      </c>
      <c r="D22" s="1">
        <v>610.16600000000005</v>
      </c>
      <c r="E22" s="1">
        <v>612.83500000000004</v>
      </c>
      <c r="F22" s="2">
        <f t="shared" si="0"/>
        <v>1.0043742194747003</v>
      </c>
      <c r="G22" s="5">
        <v>610.82899999999995</v>
      </c>
      <c r="H22" s="5">
        <v>615.16999999999996</v>
      </c>
      <c r="I22" s="1">
        <v>1.24826884269714</v>
      </c>
      <c r="J22" s="1">
        <v>302.63854622840802</v>
      </c>
      <c r="K22">
        <v>15</v>
      </c>
      <c r="L22">
        <v>4</v>
      </c>
    </row>
    <row r="23" spans="1:12" x14ac:dyDescent="0.35">
      <c r="A23">
        <v>25</v>
      </c>
      <c r="B23">
        <v>0.2</v>
      </c>
      <c r="C23" s="1">
        <v>2597.634</v>
      </c>
      <c r="D23" s="1">
        <v>2626.3980000000001</v>
      </c>
      <c r="E23" s="1">
        <v>2628.1480000000001</v>
      </c>
      <c r="F23" s="2">
        <f t="shared" si="0"/>
        <v>1.0006663118080352</v>
      </c>
      <c r="G23" s="5">
        <v>2627.422</v>
      </c>
      <c r="H23" s="5">
        <v>2637.1495169804903</v>
      </c>
      <c r="I23" s="1">
        <v>8.33941197395324</v>
      </c>
      <c r="J23" s="1">
        <v>306.11317467689503</v>
      </c>
      <c r="K23">
        <v>7</v>
      </c>
      <c r="L23">
        <v>3</v>
      </c>
    </row>
    <row r="24" spans="1:12" x14ac:dyDescent="0.35">
      <c r="B24">
        <v>0.5</v>
      </c>
      <c r="C24" s="1">
        <v>1789.944</v>
      </c>
      <c r="D24" s="1">
        <v>1825.82</v>
      </c>
      <c r="E24" s="1">
        <v>1833.3040000000001</v>
      </c>
      <c r="F24" s="2">
        <f t="shared" si="0"/>
        <v>1.0040989801842461</v>
      </c>
      <c r="G24" s="5">
        <v>1827.527</v>
      </c>
      <c r="H24" s="5">
        <v>1838.43936883631</v>
      </c>
      <c r="I24" s="1">
        <v>3.7428405284881499</v>
      </c>
      <c r="J24" s="1">
        <v>307.23403191566399</v>
      </c>
      <c r="K24">
        <v>17</v>
      </c>
      <c r="L24">
        <v>8</v>
      </c>
    </row>
    <row r="25" spans="1:12" x14ac:dyDescent="0.35">
      <c r="B25">
        <v>0.8</v>
      </c>
      <c r="C25" s="1">
        <v>690.07500000000005</v>
      </c>
      <c r="D25" s="1">
        <v>706.20699999999999</v>
      </c>
      <c r="E25" s="1">
        <v>711.50599999999997</v>
      </c>
      <c r="F25" s="2">
        <f t="shared" si="0"/>
        <v>1.0075034656977344</v>
      </c>
      <c r="G25" s="5">
        <v>706.572</v>
      </c>
      <c r="H25" s="5">
        <v>714.46658482245095</v>
      </c>
      <c r="I25" s="1">
        <v>1.4489431381225499</v>
      </c>
      <c r="J25" s="1">
        <v>303.76215910911498</v>
      </c>
      <c r="K25">
        <v>11</v>
      </c>
      <c r="L25">
        <v>5</v>
      </c>
    </row>
    <row r="26" spans="1:12" x14ac:dyDescent="0.35">
      <c r="A26">
        <v>30</v>
      </c>
      <c r="B26">
        <v>0.2</v>
      </c>
      <c r="C26" s="1">
        <v>3311.1709999999998</v>
      </c>
      <c r="D26" s="1">
        <v>3334.819</v>
      </c>
      <c r="E26" s="1">
        <v>3351.221</v>
      </c>
      <c r="F26" s="2">
        <f t="shared" si="0"/>
        <v>1.0049184078656144</v>
      </c>
      <c r="G26" s="5">
        <v>3331.6039999999998</v>
      </c>
      <c r="H26" s="5">
        <v>3356.80217786925</v>
      </c>
      <c r="I26" s="1">
        <v>15.062152624130199</v>
      </c>
      <c r="J26" s="1">
        <v>307.35489749908402</v>
      </c>
      <c r="K26">
        <v>10</v>
      </c>
      <c r="L26">
        <v>4</v>
      </c>
    </row>
    <row r="27" spans="1:12" x14ac:dyDescent="0.35">
      <c r="B27">
        <v>0.5</v>
      </c>
      <c r="C27" s="1">
        <v>2489.9830000000002</v>
      </c>
      <c r="D27" s="1">
        <v>2528.8359999999998</v>
      </c>
      <c r="E27" s="1">
        <v>2535.3470000000002</v>
      </c>
      <c r="F27" s="2">
        <f t="shared" si="0"/>
        <v>1.0025747023531777</v>
      </c>
      <c r="G27" s="5">
        <v>2528.6619999999998</v>
      </c>
      <c r="H27" s="5">
        <v>2544.7380524646901</v>
      </c>
      <c r="I27" s="1">
        <v>3.26167869567871</v>
      </c>
      <c r="J27" s="1">
        <v>305.18248820304802</v>
      </c>
      <c r="K27">
        <v>14</v>
      </c>
      <c r="L27">
        <v>6</v>
      </c>
    </row>
    <row r="28" spans="1:12" x14ac:dyDescent="0.35">
      <c r="B28">
        <v>0.8</v>
      </c>
      <c r="C28" s="1">
        <v>1070.2070000000001</v>
      </c>
      <c r="D28" s="1">
        <v>1095.8630000000001</v>
      </c>
      <c r="E28" s="1">
        <v>1104.588</v>
      </c>
      <c r="F28" s="2">
        <f t="shared" si="0"/>
        <v>1.007961761643563</v>
      </c>
      <c r="G28" s="5">
        <v>1095.662</v>
      </c>
      <c r="H28" s="5">
        <v>1109.7143147756899</v>
      </c>
      <c r="I28" s="1">
        <v>1.37230443954467</v>
      </c>
      <c r="J28" s="1">
        <v>304.39735627174298</v>
      </c>
      <c r="K28">
        <v>8</v>
      </c>
      <c r="L28">
        <v>6</v>
      </c>
    </row>
    <row r="29" spans="1:12" x14ac:dyDescent="0.35">
      <c r="C29" s="1">
        <f>AVERAGE(C2:C28)</f>
        <v>700.68018518518511</v>
      </c>
      <c r="D29" s="1">
        <f t="shared" ref="D29:L29" si="1">AVERAGE(D2:D28)</f>
        <v>710.97255555555557</v>
      </c>
      <c r="E29" s="1">
        <f t="shared" si="1"/>
        <v>714.14533333333327</v>
      </c>
      <c r="F29" s="2">
        <f t="shared" si="1"/>
        <v>1.0123989978492882</v>
      </c>
      <c r="G29" s="1">
        <f t="shared" si="1"/>
        <v>711.23718518518513</v>
      </c>
      <c r="H29" s="1">
        <f t="shared" si="1"/>
        <v>715.64394239182229</v>
      </c>
      <c r="I29" s="1">
        <f t="shared" si="1"/>
        <v>2.5809331734975136</v>
      </c>
      <c r="J29" s="1">
        <f t="shared" si="1"/>
        <v>192.9476360921503</v>
      </c>
      <c r="K29" s="1">
        <f t="shared" si="1"/>
        <v>7.7037037037037033</v>
      </c>
      <c r="L29" s="1">
        <f t="shared" si="1"/>
        <v>3.925925925925926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7FE8-F49D-4898-80AA-2B71A56CE7B4}">
  <dimension ref="A1:AE28"/>
  <sheetViews>
    <sheetView workbookViewId="0">
      <selection activeCell="K1" sqref="K1:K1048576"/>
    </sheetView>
  </sheetViews>
  <sheetFormatPr defaultRowHeight="14.5" x14ac:dyDescent="0.35"/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 t="s">
        <v>30</v>
      </c>
      <c r="B2" t="s">
        <v>40</v>
      </c>
      <c r="C2">
        <v>2</v>
      </c>
      <c r="D2">
        <v>100</v>
      </c>
      <c r="E2">
        <v>8</v>
      </c>
      <c r="F2" t="s">
        <v>32</v>
      </c>
      <c r="G2">
        <v>18516</v>
      </c>
      <c r="H2">
        <v>18516</v>
      </c>
      <c r="I2">
        <v>18476</v>
      </c>
      <c r="J2">
        <v>18516</v>
      </c>
      <c r="K2">
        <v>18723</v>
      </c>
      <c r="L2">
        <v>18516</v>
      </c>
      <c r="M2">
        <v>18516</v>
      </c>
      <c r="N2">
        <v>1.08854031562805</v>
      </c>
      <c r="O2">
        <v>1.67481637001037</v>
      </c>
      <c r="P2">
        <v>0.13428068161010701</v>
      </c>
      <c r="Q2">
        <v>2.52324986457824</v>
      </c>
      <c r="R2">
        <v>2031</v>
      </c>
      <c r="S2">
        <v>2040</v>
      </c>
      <c r="T2">
        <v>2025</v>
      </c>
      <c r="U2">
        <v>15</v>
      </c>
      <c r="V2">
        <v>1</v>
      </c>
      <c r="W2">
        <v>3</v>
      </c>
      <c r="X2">
        <v>2</v>
      </c>
      <c r="Y2">
        <v>2</v>
      </c>
      <c r="Z2">
        <v>18449</v>
      </c>
      <c r="AA2">
        <v>18516</v>
      </c>
      <c r="AB2">
        <v>0.11638975143432601</v>
      </c>
      <c r="AC2">
        <v>0.606467485427856</v>
      </c>
      <c r="AD2">
        <v>3</v>
      </c>
      <c r="AE2">
        <v>2</v>
      </c>
    </row>
    <row r="3" spans="1:31" x14ac:dyDescent="0.35">
      <c r="A3" t="s">
        <v>30</v>
      </c>
      <c r="B3" t="s">
        <v>39</v>
      </c>
      <c r="C3">
        <v>2</v>
      </c>
      <c r="D3">
        <v>100</v>
      </c>
      <c r="E3">
        <v>5</v>
      </c>
      <c r="F3" t="s">
        <v>32</v>
      </c>
      <c r="G3">
        <v>18271</v>
      </c>
      <c r="H3">
        <v>18271</v>
      </c>
      <c r="I3">
        <v>17491</v>
      </c>
      <c r="J3">
        <v>18271</v>
      </c>
      <c r="K3">
        <v>18301</v>
      </c>
      <c r="L3">
        <v>18271</v>
      </c>
      <c r="M3">
        <v>18271</v>
      </c>
      <c r="N3">
        <v>1.0773811340332</v>
      </c>
      <c r="O3">
        <v>1.4663994312286299</v>
      </c>
      <c r="P3">
        <v>6.2645435333251898E-2</v>
      </c>
      <c r="Q3">
        <v>1.15941286087036</v>
      </c>
      <c r="R3">
        <v>155</v>
      </c>
      <c r="S3">
        <v>116</v>
      </c>
      <c r="T3">
        <v>98</v>
      </c>
      <c r="U3">
        <v>18</v>
      </c>
      <c r="V3">
        <v>1</v>
      </c>
      <c r="W3">
        <v>9</v>
      </c>
      <c r="X3">
        <v>2</v>
      </c>
      <c r="Y3">
        <v>2</v>
      </c>
      <c r="Z3">
        <v>17589</v>
      </c>
      <c r="AA3">
        <v>18271</v>
      </c>
      <c r="AB3">
        <v>3.5474777221679597E-2</v>
      </c>
      <c r="AC3">
        <v>0.415836572647094</v>
      </c>
      <c r="AD3">
        <v>3</v>
      </c>
      <c r="AE3">
        <v>2</v>
      </c>
    </row>
    <row r="4" spans="1:31" x14ac:dyDescent="0.35">
      <c r="A4" t="s">
        <v>30</v>
      </c>
      <c r="B4" t="s">
        <v>38</v>
      </c>
      <c r="C4">
        <v>2</v>
      </c>
      <c r="D4">
        <v>100</v>
      </c>
      <c r="E4">
        <v>2</v>
      </c>
      <c r="F4" t="s">
        <v>32</v>
      </c>
      <c r="G4">
        <v>8302</v>
      </c>
      <c r="H4">
        <v>8302</v>
      </c>
      <c r="I4">
        <v>7994</v>
      </c>
      <c r="J4">
        <v>8302</v>
      </c>
      <c r="K4">
        <v>8357</v>
      </c>
      <c r="L4">
        <v>8302</v>
      </c>
      <c r="M4">
        <v>8302</v>
      </c>
      <c r="N4">
        <v>2.72987556457519</v>
      </c>
      <c r="O4">
        <v>3.1421008110046298</v>
      </c>
      <c r="P4">
        <v>0.10685110092163</v>
      </c>
      <c r="Q4">
        <v>2.3211762905120801</v>
      </c>
      <c r="R4">
        <v>671</v>
      </c>
      <c r="S4">
        <v>657</v>
      </c>
      <c r="T4">
        <v>631</v>
      </c>
      <c r="U4">
        <v>26</v>
      </c>
      <c r="V4">
        <v>1</v>
      </c>
      <c r="W4">
        <v>10</v>
      </c>
      <c r="X4">
        <v>2</v>
      </c>
      <c r="Y4">
        <v>2</v>
      </c>
      <c r="Z4">
        <v>8140</v>
      </c>
      <c r="AA4">
        <v>8179</v>
      </c>
      <c r="AB4">
        <v>2.7857065200805602E-2</v>
      </c>
      <c r="AC4">
        <v>0.38396215438842701</v>
      </c>
      <c r="AD4">
        <v>3</v>
      </c>
      <c r="AE4">
        <v>2</v>
      </c>
    </row>
    <row r="5" spans="1:31" x14ac:dyDescent="0.35">
      <c r="A5" t="s">
        <v>30</v>
      </c>
      <c r="B5" t="s">
        <v>49</v>
      </c>
      <c r="C5">
        <v>3</v>
      </c>
      <c r="D5">
        <v>100</v>
      </c>
      <c r="E5">
        <v>8</v>
      </c>
      <c r="F5" t="s">
        <v>32</v>
      </c>
      <c r="G5">
        <v>37529</v>
      </c>
      <c r="H5">
        <v>37607</v>
      </c>
      <c r="I5">
        <v>37046</v>
      </c>
      <c r="J5">
        <v>37607</v>
      </c>
      <c r="K5">
        <v>37826</v>
      </c>
      <c r="L5">
        <v>37607</v>
      </c>
      <c r="M5">
        <v>37607</v>
      </c>
      <c r="N5">
        <v>11.9863970279693</v>
      </c>
      <c r="O5">
        <v>14.7541863918304</v>
      </c>
      <c r="P5">
        <v>1.1480195522308301</v>
      </c>
      <c r="Q5">
        <v>9.5624246597290004</v>
      </c>
      <c r="R5">
        <v>1058</v>
      </c>
      <c r="S5">
        <v>1009</v>
      </c>
      <c r="T5">
        <v>988</v>
      </c>
      <c r="U5">
        <v>21</v>
      </c>
      <c r="V5">
        <v>5</v>
      </c>
      <c r="W5">
        <v>9</v>
      </c>
      <c r="X5">
        <v>2</v>
      </c>
      <c r="Y5">
        <v>2</v>
      </c>
      <c r="Z5">
        <v>37153</v>
      </c>
      <c r="AA5">
        <v>37456</v>
      </c>
      <c r="AB5">
        <v>0.32822418212890597</v>
      </c>
      <c r="AC5">
        <v>3.09674715995788</v>
      </c>
      <c r="AD5">
        <v>4</v>
      </c>
      <c r="AE5">
        <v>3</v>
      </c>
    </row>
    <row r="6" spans="1:31" x14ac:dyDescent="0.35">
      <c r="A6" t="s">
        <v>30</v>
      </c>
      <c r="B6" t="s">
        <v>48</v>
      </c>
      <c r="C6">
        <v>3</v>
      </c>
      <c r="D6">
        <v>100</v>
      </c>
      <c r="E6">
        <v>5</v>
      </c>
      <c r="F6" t="s">
        <v>32</v>
      </c>
      <c r="G6">
        <v>32644</v>
      </c>
      <c r="H6">
        <v>32673</v>
      </c>
      <c r="I6">
        <v>32133</v>
      </c>
      <c r="J6">
        <v>32673</v>
      </c>
      <c r="K6">
        <v>32766</v>
      </c>
      <c r="L6">
        <v>32674</v>
      </c>
      <c r="M6">
        <v>32673</v>
      </c>
      <c r="N6">
        <v>958.73863291740395</v>
      </c>
      <c r="O6">
        <v>1646.5764687061301</v>
      </c>
      <c r="P6">
        <v>0.196640014648437</v>
      </c>
      <c r="Q6">
        <v>174.18118977546601</v>
      </c>
      <c r="R6">
        <v>3394</v>
      </c>
      <c r="S6">
        <v>805</v>
      </c>
      <c r="T6">
        <v>407</v>
      </c>
      <c r="U6">
        <v>398</v>
      </c>
      <c r="V6">
        <v>2</v>
      </c>
      <c r="W6">
        <v>131</v>
      </c>
      <c r="X6">
        <v>2</v>
      </c>
      <c r="Y6">
        <v>2</v>
      </c>
      <c r="Z6">
        <v>31816</v>
      </c>
      <c r="AA6">
        <v>32415</v>
      </c>
      <c r="AB6">
        <v>6.7655801773071206E-2</v>
      </c>
      <c r="AC6">
        <v>1.9615328311920099</v>
      </c>
      <c r="AD6">
        <v>3</v>
      </c>
      <c r="AE6">
        <v>3</v>
      </c>
    </row>
    <row r="7" spans="1:31" x14ac:dyDescent="0.35">
      <c r="A7" t="s">
        <v>30</v>
      </c>
      <c r="B7" t="s">
        <v>47</v>
      </c>
      <c r="C7">
        <v>3</v>
      </c>
      <c r="D7">
        <v>100</v>
      </c>
      <c r="E7">
        <v>2</v>
      </c>
      <c r="F7" t="s">
        <v>32</v>
      </c>
      <c r="H7">
        <v>0</v>
      </c>
      <c r="I7">
        <v>14550</v>
      </c>
      <c r="J7">
        <v>14800</v>
      </c>
      <c r="K7">
        <v>15164</v>
      </c>
      <c r="L7">
        <v>14862</v>
      </c>
      <c r="M7">
        <v>14800</v>
      </c>
      <c r="O7">
        <v>1800.1671864986399</v>
      </c>
      <c r="P7">
        <v>0.227250576019287</v>
      </c>
      <c r="Q7">
        <v>339.112529277801</v>
      </c>
      <c r="R7">
        <v>2739</v>
      </c>
      <c r="S7">
        <v>1167</v>
      </c>
      <c r="T7">
        <v>967</v>
      </c>
      <c r="U7">
        <v>200</v>
      </c>
      <c r="V7">
        <v>0</v>
      </c>
      <c r="W7">
        <v>61</v>
      </c>
      <c r="X7">
        <v>9</v>
      </c>
      <c r="Y7">
        <v>2</v>
      </c>
      <c r="Z7">
        <v>14473</v>
      </c>
      <c r="AA7">
        <v>14761</v>
      </c>
      <c r="AB7">
        <v>4.8323869705200098E-2</v>
      </c>
      <c r="AC7">
        <v>0.40308403968811002</v>
      </c>
      <c r="AD7">
        <v>4</v>
      </c>
      <c r="AE7">
        <v>2</v>
      </c>
    </row>
    <row r="8" spans="1:31" x14ac:dyDescent="0.35">
      <c r="A8" t="s">
        <v>30</v>
      </c>
      <c r="B8" t="s">
        <v>55</v>
      </c>
      <c r="C8">
        <v>5</v>
      </c>
      <c r="D8">
        <v>100</v>
      </c>
      <c r="E8">
        <v>8</v>
      </c>
      <c r="F8" t="s">
        <v>32</v>
      </c>
      <c r="G8">
        <v>131211</v>
      </c>
      <c r="H8">
        <v>131296</v>
      </c>
      <c r="I8">
        <v>129378</v>
      </c>
      <c r="J8">
        <v>131296</v>
      </c>
      <c r="K8">
        <v>131296</v>
      </c>
      <c r="L8">
        <v>131308</v>
      </c>
      <c r="M8">
        <v>131300</v>
      </c>
      <c r="N8">
        <v>7.7464110851287797</v>
      </c>
      <c r="O8">
        <v>81.487275600433307</v>
      </c>
      <c r="P8">
        <v>1.8076131343841499</v>
      </c>
      <c r="Q8">
        <v>47.921340703964198</v>
      </c>
      <c r="R8">
        <v>58</v>
      </c>
      <c r="S8">
        <v>78</v>
      </c>
      <c r="T8">
        <v>33</v>
      </c>
      <c r="U8">
        <v>45</v>
      </c>
      <c r="V8">
        <v>3</v>
      </c>
      <c r="W8">
        <v>8</v>
      </c>
      <c r="X8">
        <v>2</v>
      </c>
      <c r="Y8">
        <v>2</v>
      </c>
      <c r="Z8">
        <v>129183</v>
      </c>
      <c r="AA8">
        <v>131296</v>
      </c>
      <c r="AB8">
        <v>0.88005423545837402</v>
      </c>
      <c r="AC8">
        <v>46.961534500121999</v>
      </c>
      <c r="AD8">
        <v>4</v>
      </c>
      <c r="AE8">
        <v>1</v>
      </c>
    </row>
    <row r="9" spans="1:31" x14ac:dyDescent="0.35">
      <c r="A9" t="s">
        <v>30</v>
      </c>
      <c r="B9" t="s">
        <v>54</v>
      </c>
      <c r="C9">
        <v>5</v>
      </c>
      <c r="D9">
        <v>100</v>
      </c>
      <c r="E9">
        <v>5</v>
      </c>
      <c r="F9" t="s">
        <v>32</v>
      </c>
      <c r="H9">
        <v>0</v>
      </c>
      <c r="I9">
        <v>59618</v>
      </c>
      <c r="J9">
        <v>60572</v>
      </c>
      <c r="K9">
        <v>61425</v>
      </c>
      <c r="L9">
        <v>61015</v>
      </c>
      <c r="M9">
        <v>60967</v>
      </c>
      <c r="O9">
        <v>1800.3189415931699</v>
      </c>
      <c r="P9">
        <v>0.85490512847900302</v>
      </c>
      <c r="Q9">
        <v>1800.1472723484001</v>
      </c>
      <c r="R9">
        <v>2892</v>
      </c>
      <c r="S9">
        <v>1730</v>
      </c>
      <c r="T9">
        <v>1271</v>
      </c>
      <c r="U9">
        <v>459</v>
      </c>
      <c r="V9">
        <v>0</v>
      </c>
      <c r="W9">
        <v>93</v>
      </c>
      <c r="X9">
        <v>9</v>
      </c>
      <c r="Y9">
        <v>9</v>
      </c>
      <c r="Z9">
        <v>59572</v>
      </c>
      <c r="AA9">
        <v>59998</v>
      </c>
      <c r="AB9">
        <v>0.76933550834655695</v>
      </c>
      <c r="AC9">
        <v>33.523033618927002</v>
      </c>
      <c r="AD9">
        <v>7</v>
      </c>
      <c r="AE9">
        <v>3</v>
      </c>
    </row>
    <row r="10" spans="1:31" x14ac:dyDescent="0.35">
      <c r="A10" t="s">
        <v>30</v>
      </c>
      <c r="B10" t="s">
        <v>53</v>
      </c>
      <c r="C10">
        <v>5</v>
      </c>
      <c r="D10">
        <v>100</v>
      </c>
      <c r="E10">
        <v>2</v>
      </c>
      <c r="F10" t="s">
        <v>32</v>
      </c>
      <c r="G10">
        <v>27322</v>
      </c>
      <c r="H10">
        <v>27322</v>
      </c>
      <c r="I10">
        <v>26713</v>
      </c>
      <c r="J10">
        <v>27343</v>
      </c>
      <c r="K10">
        <v>29309</v>
      </c>
      <c r="L10">
        <v>27384</v>
      </c>
      <c r="M10">
        <v>27343</v>
      </c>
      <c r="N10">
        <v>1784.8587808609</v>
      </c>
      <c r="O10">
        <v>1800.1460525989501</v>
      </c>
      <c r="P10">
        <v>0.45135450363159102</v>
      </c>
      <c r="Q10">
        <v>183.81154131889301</v>
      </c>
      <c r="R10">
        <v>3982</v>
      </c>
      <c r="S10">
        <v>3857</v>
      </c>
      <c r="T10">
        <v>3753</v>
      </c>
      <c r="U10">
        <v>104</v>
      </c>
      <c r="V10">
        <v>1</v>
      </c>
      <c r="W10">
        <v>18</v>
      </c>
      <c r="X10">
        <v>9</v>
      </c>
      <c r="Y10">
        <v>2</v>
      </c>
      <c r="Z10">
        <v>27038</v>
      </c>
      <c r="AA10">
        <v>27171</v>
      </c>
      <c r="AB10">
        <v>0.13942193984985299</v>
      </c>
      <c r="AC10">
        <v>2.0367865562438898</v>
      </c>
      <c r="AD10">
        <v>4</v>
      </c>
      <c r="AE10">
        <v>3</v>
      </c>
    </row>
    <row r="11" spans="1:31" x14ac:dyDescent="0.35">
      <c r="A11" t="s">
        <v>30</v>
      </c>
      <c r="B11" t="s">
        <v>58</v>
      </c>
      <c r="C11">
        <v>8</v>
      </c>
      <c r="D11">
        <v>100</v>
      </c>
      <c r="E11">
        <v>8</v>
      </c>
      <c r="F11" t="s">
        <v>32</v>
      </c>
      <c r="H11">
        <v>0</v>
      </c>
      <c r="I11">
        <v>291123</v>
      </c>
      <c r="J11">
        <v>295125</v>
      </c>
      <c r="K11">
        <v>295132</v>
      </c>
      <c r="L11">
        <v>295636</v>
      </c>
      <c r="M11">
        <v>295398</v>
      </c>
      <c r="O11">
        <v>1800.7035512924101</v>
      </c>
      <c r="P11">
        <v>4.9880294799804599</v>
      </c>
      <c r="Q11">
        <v>1800.3245749473499</v>
      </c>
      <c r="R11">
        <v>1657</v>
      </c>
      <c r="S11">
        <v>200</v>
      </c>
      <c r="T11">
        <v>73</v>
      </c>
      <c r="U11">
        <v>127</v>
      </c>
      <c r="V11">
        <v>0</v>
      </c>
      <c r="W11">
        <v>17</v>
      </c>
      <c r="X11">
        <v>9</v>
      </c>
      <c r="Y11">
        <v>9</v>
      </c>
      <c r="Z11">
        <v>289832</v>
      </c>
      <c r="AA11">
        <v>294782</v>
      </c>
      <c r="AB11">
        <v>3.9904577732086102</v>
      </c>
      <c r="AC11">
        <v>301.08733820915199</v>
      </c>
      <c r="AD11">
        <v>8</v>
      </c>
      <c r="AE11">
        <v>2</v>
      </c>
    </row>
    <row r="12" spans="1:31" x14ac:dyDescent="0.35">
      <c r="A12" t="s">
        <v>30</v>
      </c>
      <c r="B12" t="s">
        <v>57</v>
      </c>
      <c r="C12">
        <v>8</v>
      </c>
      <c r="D12">
        <v>100</v>
      </c>
      <c r="E12">
        <v>5</v>
      </c>
      <c r="F12" t="s">
        <v>32</v>
      </c>
      <c r="H12">
        <v>0</v>
      </c>
      <c r="I12">
        <v>110523</v>
      </c>
      <c r="J12">
        <v>112367</v>
      </c>
      <c r="K12">
        <v>116686</v>
      </c>
      <c r="L12">
        <v>114178</v>
      </c>
      <c r="M12">
        <v>114007</v>
      </c>
      <c r="O12">
        <v>1800.37448620796</v>
      </c>
      <c r="P12">
        <v>1.4810817241668699</v>
      </c>
      <c r="Q12">
        <v>1800.3014395236901</v>
      </c>
      <c r="R12">
        <v>4833</v>
      </c>
      <c r="S12">
        <v>4680</v>
      </c>
      <c r="T12">
        <v>4408</v>
      </c>
      <c r="U12">
        <v>272</v>
      </c>
      <c r="V12">
        <v>0</v>
      </c>
      <c r="W12">
        <v>35</v>
      </c>
      <c r="X12">
        <v>9</v>
      </c>
      <c r="Y12">
        <v>9</v>
      </c>
      <c r="Z12">
        <v>110456</v>
      </c>
      <c r="AA12">
        <v>112111</v>
      </c>
      <c r="AB12">
        <v>0.85968255996704102</v>
      </c>
      <c r="AC12">
        <v>235.09808301925599</v>
      </c>
      <c r="AD12">
        <v>6</v>
      </c>
      <c r="AE12">
        <v>5</v>
      </c>
    </row>
    <row r="13" spans="1:31" x14ac:dyDescent="0.35">
      <c r="A13" t="s">
        <v>30</v>
      </c>
      <c r="B13" t="s">
        <v>56</v>
      </c>
      <c r="C13">
        <v>8</v>
      </c>
      <c r="D13">
        <v>100</v>
      </c>
      <c r="E13">
        <v>2</v>
      </c>
      <c r="F13" t="s">
        <v>32</v>
      </c>
      <c r="H13">
        <v>0</v>
      </c>
      <c r="I13">
        <v>85756</v>
      </c>
      <c r="J13">
        <v>86945</v>
      </c>
      <c r="K13">
        <v>87772</v>
      </c>
      <c r="L13">
        <v>87745</v>
      </c>
      <c r="M13">
        <v>87621</v>
      </c>
      <c r="O13">
        <v>1800.47643399238</v>
      </c>
      <c r="P13">
        <v>0.61191868782043402</v>
      </c>
      <c r="Q13">
        <v>1800.90272688865</v>
      </c>
      <c r="R13">
        <v>571</v>
      </c>
      <c r="S13">
        <v>649</v>
      </c>
      <c r="T13">
        <v>269</v>
      </c>
      <c r="U13">
        <v>380</v>
      </c>
      <c r="V13">
        <v>0</v>
      </c>
      <c r="W13">
        <v>49</v>
      </c>
      <c r="X13">
        <v>9</v>
      </c>
      <c r="Y13">
        <v>9</v>
      </c>
      <c r="Z13">
        <v>85564</v>
      </c>
      <c r="AA13">
        <v>86608</v>
      </c>
      <c r="AB13">
        <v>0.330913305282592</v>
      </c>
      <c r="AC13">
        <v>25.824915885925201</v>
      </c>
      <c r="AD13">
        <v>7</v>
      </c>
      <c r="AE13">
        <v>4</v>
      </c>
    </row>
    <row r="14" spans="1:31" x14ac:dyDescent="0.35">
      <c r="A14" t="s">
        <v>30</v>
      </c>
      <c r="B14" t="s">
        <v>34</v>
      </c>
      <c r="C14">
        <v>10</v>
      </c>
      <c r="D14">
        <v>100</v>
      </c>
      <c r="E14">
        <v>8</v>
      </c>
      <c r="F14" t="s">
        <v>32</v>
      </c>
      <c r="H14">
        <v>0</v>
      </c>
      <c r="I14">
        <v>501713</v>
      </c>
      <c r="J14">
        <v>505511</v>
      </c>
      <c r="K14">
        <v>508661</v>
      </c>
      <c r="L14">
        <v>506511</v>
      </c>
      <c r="M14">
        <v>506128</v>
      </c>
      <c r="O14">
        <v>1800.33148503303</v>
      </c>
      <c r="P14">
        <v>6.2172524929046604</v>
      </c>
      <c r="Q14">
        <v>1800.63965773582</v>
      </c>
      <c r="R14">
        <v>2604</v>
      </c>
      <c r="S14">
        <v>2157</v>
      </c>
      <c r="T14">
        <v>2077</v>
      </c>
      <c r="U14">
        <v>80</v>
      </c>
      <c r="V14">
        <v>0</v>
      </c>
      <c r="W14">
        <v>8</v>
      </c>
      <c r="X14">
        <v>9</v>
      </c>
      <c r="Y14">
        <v>9</v>
      </c>
      <c r="Z14">
        <v>500525</v>
      </c>
      <c r="AA14">
        <v>504645</v>
      </c>
      <c r="AB14">
        <v>6.1336483955383301</v>
      </c>
      <c r="AC14">
        <v>302.50089526176401</v>
      </c>
      <c r="AD14">
        <v>8</v>
      </c>
      <c r="AE14">
        <v>3</v>
      </c>
    </row>
    <row r="15" spans="1:31" x14ac:dyDescent="0.35">
      <c r="A15" t="s">
        <v>30</v>
      </c>
      <c r="B15" t="s">
        <v>33</v>
      </c>
      <c r="C15">
        <v>10</v>
      </c>
      <c r="D15">
        <v>100</v>
      </c>
      <c r="E15">
        <v>5</v>
      </c>
      <c r="F15" t="s">
        <v>32</v>
      </c>
      <c r="H15">
        <v>0</v>
      </c>
      <c r="I15">
        <v>257520</v>
      </c>
      <c r="J15">
        <v>260933</v>
      </c>
      <c r="K15">
        <v>262800</v>
      </c>
      <c r="L15">
        <v>263103</v>
      </c>
      <c r="M15">
        <v>262970</v>
      </c>
      <c r="O15">
        <v>1800.8560476303101</v>
      </c>
      <c r="P15">
        <v>2.5581412315368599</v>
      </c>
      <c r="Q15">
        <v>1801.0244317054701</v>
      </c>
      <c r="R15">
        <v>583</v>
      </c>
      <c r="S15">
        <v>608</v>
      </c>
      <c r="T15">
        <v>258</v>
      </c>
      <c r="U15">
        <v>350</v>
      </c>
      <c r="V15">
        <v>0</v>
      </c>
      <c r="W15">
        <v>36</v>
      </c>
      <c r="X15">
        <v>9</v>
      </c>
      <c r="Y15">
        <v>9</v>
      </c>
      <c r="Z15">
        <v>254982</v>
      </c>
      <c r="AA15">
        <v>260441</v>
      </c>
      <c r="AB15">
        <v>1.0343999862670801</v>
      </c>
      <c r="AC15">
        <v>302.27475094795199</v>
      </c>
      <c r="AD15">
        <v>7</v>
      </c>
      <c r="AE15">
        <v>4</v>
      </c>
    </row>
    <row r="16" spans="1:31" x14ac:dyDescent="0.35">
      <c r="A16" t="s">
        <v>30</v>
      </c>
      <c r="B16" t="s">
        <v>31</v>
      </c>
      <c r="C16">
        <v>10</v>
      </c>
      <c r="D16">
        <v>100</v>
      </c>
      <c r="E16">
        <v>2</v>
      </c>
      <c r="F16" t="s">
        <v>32</v>
      </c>
      <c r="H16">
        <v>0</v>
      </c>
      <c r="I16">
        <v>140152</v>
      </c>
      <c r="J16">
        <v>141211</v>
      </c>
      <c r="K16">
        <v>143910</v>
      </c>
      <c r="L16">
        <v>143043</v>
      </c>
      <c r="M16">
        <v>142901</v>
      </c>
      <c r="O16">
        <v>1800.8357799053099</v>
      </c>
      <c r="P16">
        <v>1.0895791053771899</v>
      </c>
      <c r="Q16">
        <v>1800.6426281929</v>
      </c>
      <c r="R16">
        <v>1584</v>
      </c>
      <c r="S16">
        <v>1653</v>
      </c>
      <c r="T16">
        <v>1119</v>
      </c>
      <c r="U16">
        <v>534</v>
      </c>
      <c r="V16">
        <v>0</v>
      </c>
      <c r="W16">
        <v>54</v>
      </c>
      <c r="X16">
        <v>9</v>
      </c>
      <c r="Y16">
        <v>9</v>
      </c>
      <c r="Z16">
        <v>139490</v>
      </c>
      <c r="AA16">
        <v>141610</v>
      </c>
      <c r="AB16">
        <v>0.48499965667724598</v>
      </c>
      <c r="AC16">
        <v>301.322125196456</v>
      </c>
      <c r="AD16">
        <v>7</v>
      </c>
      <c r="AE16">
        <v>5</v>
      </c>
    </row>
    <row r="17" spans="1:31" x14ac:dyDescent="0.35">
      <c r="A17" t="s">
        <v>30</v>
      </c>
      <c r="B17" t="s">
        <v>37</v>
      </c>
      <c r="C17">
        <v>15</v>
      </c>
      <c r="D17">
        <v>100</v>
      </c>
      <c r="E17">
        <v>8</v>
      </c>
      <c r="F17" t="s">
        <v>32</v>
      </c>
      <c r="H17">
        <v>0</v>
      </c>
      <c r="I17">
        <v>1048913</v>
      </c>
      <c r="J17">
        <v>1058105</v>
      </c>
      <c r="K17">
        <v>1058805</v>
      </c>
      <c r="L17">
        <v>1061265.41614591</v>
      </c>
      <c r="M17">
        <v>1060772.56070954</v>
      </c>
      <c r="O17">
        <v>1800.50368857383</v>
      </c>
      <c r="P17">
        <v>12.881396055221501</v>
      </c>
      <c r="Q17">
        <v>1801.4521501064301</v>
      </c>
      <c r="R17">
        <v>344</v>
      </c>
      <c r="S17">
        <v>254</v>
      </c>
      <c r="T17">
        <v>113</v>
      </c>
      <c r="U17">
        <v>141</v>
      </c>
      <c r="V17">
        <v>0</v>
      </c>
      <c r="W17">
        <v>13</v>
      </c>
      <c r="X17">
        <v>9</v>
      </c>
      <c r="Y17">
        <v>9</v>
      </c>
      <c r="Z17">
        <v>1050163</v>
      </c>
      <c r="AA17">
        <v>1057374</v>
      </c>
      <c r="AB17">
        <v>6.4544780254363996</v>
      </c>
      <c r="AC17">
        <v>302.84883570671002</v>
      </c>
      <c r="AD17">
        <v>8</v>
      </c>
      <c r="AE17">
        <v>3</v>
      </c>
    </row>
    <row r="18" spans="1:31" x14ac:dyDescent="0.35">
      <c r="A18" t="s">
        <v>30</v>
      </c>
      <c r="B18" t="s">
        <v>36</v>
      </c>
      <c r="C18">
        <v>15</v>
      </c>
      <c r="D18">
        <v>100</v>
      </c>
      <c r="E18">
        <v>5</v>
      </c>
      <c r="F18" t="s">
        <v>32</v>
      </c>
      <c r="H18">
        <v>0</v>
      </c>
      <c r="I18">
        <v>586931</v>
      </c>
      <c r="J18">
        <v>600351</v>
      </c>
      <c r="K18">
        <v>604179</v>
      </c>
      <c r="L18">
        <v>605302.69848290796</v>
      </c>
      <c r="M18">
        <v>605166</v>
      </c>
      <c r="O18">
        <v>1800.8462495803799</v>
      </c>
      <c r="P18">
        <v>11.276548862457201</v>
      </c>
      <c r="Q18">
        <v>1801.4652197360899</v>
      </c>
      <c r="R18">
        <v>461</v>
      </c>
      <c r="S18">
        <v>755</v>
      </c>
      <c r="T18">
        <v>310</v>
      </c>
      <c r="U18">
        <v>445</v>
      </c>
      <c r="V18">
        <v>0</v>
      </c>
      <c r="W18">
        <v>31</v>
      </c>
      <c r="X18">
        <v>9</v>
      </c>
      <c r="Y18">
        <v>9</v>
      </c>
      <c r="Z18">
        <v>583057</v>
      </c>
      <c r="AA18">
        <v>599749</v>
      </c>
      <c r="AB18">
        <v>1.87550044059753</v>
      </c>
      <c r="AC18">
        <v>304.14069843292202</v>
      </c>
      <c r="AD18">
        <v>9</v>
      </c>
      <c r="AE18">
        <v>6</v>
      </c>
    </row>
    <row r="19" spans="1:31" x14ac:dyDescent="0.35">
      <c r="A19" t="s">
        <v>30</v>
      </c>
      <c r="B19" t="s">
        <v>35</v>
      </c>
      <c r="C19">
        <v>15</v>
      </c>
      <c r="D19">
        <v>100</v>
      </c>
      <c r="E19">
        <v>2</v>
      </c>
      <c r="F19" t="s">
        <v>32</v>
      </c>
      <c r="H19">
        <v>0</v>
      </c>
      <c r="I19">
        <v>251215</v>
      </c>
      <c r="J19">
        <v>255343</v>
      </c>
      <c r="K19">
        <v>257740</v>
      </c>
      <c r="L19">
        <v>258346</v>
      </c>
      <c r="M19">
        <v>258285</v>
      </c>
      <c r="O19">
        <v>1800.6890108585301</v>
      </c>
      <c r="P19">
        <v>9.0600333213806099</v>
      </c>
      <c r="Q19">
        <v>1801.5831964015899</v>
      </c>
      <c r="R19">
        <v>325</v>
      </c>
      <c r="S19">
        <v>822</v>
      </c>
      <c r="T19">
        <v>338</v>
      </c>
      <c r="U19">
        <v>484</v>
      </c>
      <c r="V19">
        <v>0</v>
      </c>
      <c r="W19">
        <v>35</v>
      </c>
      <c r="X19">
        <v>9</v>
      </c>
      <c r="Y19">
        <v>9</v>
      </c>
      <c r="Z19">
        <v>246424</v>
      </c>
      <c r="AA19">
        <v>254180</v>
      </c>
      <c r="AB19">
        <v>0.80251479148864702</v>
      </c>
      <c r="AC19">
        <v>302.36906814575099</v>
      </c>
      <c r="AD19">
        <v>8</v>
      </c>
      <c r="AE19">
        <v>6</v>
      </c>
    </row>
    <row r="20" spans="1:31" x14ac:dyDescent="0.35">
      <c r="A20" t="s">
        <v>30</v>
      </c>
      <c r="B20" t="s">
        <v>43</v>
      </c>
      <c r="C20">
        <v>20</v>
      </c>
      <c r="D20">
        <v>100</v>
      </c>
      <c r="E20">
        <v>8</v>
      </c>
      <c r="F20" t="s">
        <v>32</v>
      </c>
      <c r="H20">
        <v>0</v>
      </c>
      <c r="I20">
        <v>1677294</v>
      </c>
      <c r="J20">
        <v>1689486</v>
      </c>
      <c r="K20">
        <v>1689875</v>
      </c>
      <c r="L20">
        <v>1694352.47137745</v>
      </c>
      <c r="M20">
        <v>1693880.64370746</v>
      </c>
      <c r="O20">
        <v>1801.55504894256</v>
      </c>
      <c r="P20">
        <v>12.915781974792401</v>
      </c>
      <c r="Q20">
        <v>1800.56051087379</v>
      </c>
      <c r="R20">
        <v>279</v>
      </c>
      <c r="S20">
        <v>372</v>
      </c>
      <c r="T20">
        <v>161</v>
      </c>
      <c r="U20">
        <v>211</v>
      </c>
      <c r="V20">
        <v>0</v>
      </c>
      <c r="W20">
        <v>13</v>
      </c>
      <c r="X20">
        <v>9</v>
      </c>
      <c r="Y20">
        <v>9</v>
      </c>
      <c r="Z20">
        <v>1663484</v>
      </c>
      <c r="AA20">
        <v>1688035</v>
      </c>
      <c r="AB20">
        <v>8.62850022315979</v>
      </c>
      <c r="AC20">
        <v>303.248859167099</v>
      </c>
      <c r="AD20">
        <v>10</v>
      </c>
      <c r="AE20">
        <v>4</v>
      </c>
    </row>
    <row r="21" spans="1:31" x14ac:dyDescent="0.35">
      <c r="A21" t="s">
        <v>30</v>
      </c>
      <c r="B21" t="s">
        <v>42</v>
      </c>
      <c r="C21">
        <v>20</v>
      </c>
      <c r="D21">
        <v>100</v>
      </c>
      <c r="E21">
        <v>5</v>
      </c>
      <c r="F21" t="s">
        <v>32</v>
      </c>
      <c r="H21">
        <v>0</v>
      </c>
      <c r="I21">
        <v>1099312</v>
      </c>
      <c r="J21">
        <v>1120369</v>
      </c>
      <c r="K21">
        <v>1126248</v>
      </c>
      <c r="L21">
        <v>1129000.7040953599</v>
      </c>
      <c r="M21">
        <v>1128998.22441332</v>
      </c>
      <c r="O21">
        <v>1800.7316303253101</v>
      </c>
      <c r="P21">
        <v>3.7755053043365399</v>
      </c>
      <c r="Q21">
        <v>1800.7728860378199</v>
      </c>
      <c r="R21">
        <v>215</v>
      </c>
      <c r="S21">
        <v>514</v>
      </c>
      <c r="T21">
        <v>230</v>
      </c>
      <c r="U21">
        <v>284</v>
      </c>
      <c r="V21">
        <v>0</v>
      </c>
      <c r="W21">
        <v>15</v>
      </c>
      <c r="X21">
        <v>9</v>
      </c>
      <c r="Y21">
        <v>9</v>
      </c>
      <c r="Z21">
        <v>1103405</v>
      </c>
      <c r="AA21">
        <v>1120552</v>
      </c>
      <c r="AB21">
        <v>2.2017631530761701</v>
      </c>
      <c r="AC21">
        <v>302.79896569252003</v>
      </c>
      <c r="AD21">
        <v>13</v>
      </c>
      <c r="AE21">
        <v>7</v>
      </c>
    </row>
    <row r="22" spans="1:31" x14ac:dyDescent="0.35">
      <c r="A22" t="s">
        <v>30</v>
      </c>
      <c r="B22" t="s">
        <v>41</v>
      </c>
      <c r="C22">
        <v>20</v>
      </c>
      <c r="D22">
        <v>100</v>
      </c>
      <c r="E22">
        <v>2</v>
      </c>
      <c r="F22" t="s">
        <v>32</v>
      </c>
      <c r="H22">
        <v>0</v>
      </c>
      <c r="I22">
        <v>597381</v>
      </c>
      <c r="J22">
        <v>610829</v>
      </c>
      <c r="K22">
        <v>612835</v>
      </c>
      <c r="L22">
        <v>615501.550169394</v>
      </c>
      <c r="M22">
        <v>615170</v>
      </c>
      <c r="O22">
        <v>1800.6057116985301</v>
      </c>
      <c r="P22">
        <v>3.02465367317199</v>
      </c>
      <c r="Q22">
        <v>1800.76461172103</v>
      </c>
      <c r="R22">
        <v>348</v>
      </c>
      <c r="S22">
        <v>395</v>
      </c>
      <c r="T22">
        <v>178</v>
      </c>
      <c r="U22">
        <v>217</v>
      </c>
      <c r="V22">
        <v>0</v>
      </c>
      <c r="W22">
        <v>14</v>
      </c>
      <c r="X22">
        <v>9</v>
      </c>
      <c r="Y22">
        <v>9</v>
      </c>
      <c r="Z22">
        <v>598556</v>
      </c>
      <c r="AA22">
        <v>610166</v>
      </c>
      <c r="AB22">
        <v>1.24826884269714</v>
      </c>
      <c r="AC22">
        <v>302.63854622840802</v>
      </c>
      <c r="AD22">
        <v>15</v>
      </c>
      <c r="AE22">
        <v>4</v>
      </c>
    </row>
    <row r="23" spans="1:31" x14ac:dyDescent="0.35">
      <c r="A23" t="s">
        <v>30</v>
      </c>
      <c r="B23" t="s">
        <v>46</v>
      </c>
      <c r="C23">
        <v>25</v>
      </c>
      <c r="D23">
        <v>100</v>
      </c>
      <c r="E23">
        <v>8</v>
      </c>
      <c r="F23" t="s">
        <v>32</v>
      </c>
      <c r="H23">
        <v>0</v>
      </c>
      <c r="I23">
        <v>2605683</v>
      </c>
      <c r="J23">
        <v>2627422</v>
      </c>
      <c r="K23">
        <v>2628148</v>
      </c>
      <c r="L23">
        <v>2637502.36226964</v>
      </c>
      <c r="M23">
        <v>2637149.5169804902</v>
      </c>
      <c r="O23">
        <v>1800.8643925189899</v>
      </c>
      <c r="P23">
        <v>17.264923810958798</v>
      </c>
      <c r="Q23">
        <v>1801.05381202697</v>
      </c>
      <c r="R23">
        <v>309</v>
      </c>
      <c r="S23">
        <v>355</v>
      </c>
      <c r="T23">
        <v>176</v>
      </c>
      <c r="U23">
        <v>179</v>
      </c>
      <c r="V23">
        <v>0</v>
      </c>
      <c r="W23">
        <v>8</v>
      </c>
      <c r="X23">
        <v>9</v>
      </c>
      <c r="Y23">
        <v>9</v>
      </c>
      <c r="Z23">
        <v>2597634</v>
      </c>
      <c r="AA23">
        <v>2626398</v>
      </c>
      <c r="AB23">
        <v>8.33941197395324</v>
      </c>
      <c r="AC23">
        <v>306.11317467689503</v>
      </c>
      <c r="AD23">
        <v>7</v>
      </c>
      <c r="AE23">
        <v>3</v>
      </c>
    </row>
    <row r="24" spans="1:31" x14ac:dyDescent="0.35">
      <c r="A24" t="s">
        <v>30</v>
      </c>
      <c r="B24" t="s">
        <v>45</v>
      </c>
      <c r="C24">
        <v>25</v>
      </c>
      <c r="D24">
        <v>100</v>
      </c>
      <c r="E24">
        <v>5</v>
      </c>
      <c r="F24" t="s">
        <v>32</v>
      </c>
      <c r="H24">
        <v>0</v>
      </c>
      <c r="I24">
        <v>1800145</v>
      </c>
      <c r="J24">
        <v>1827527</v>
      </c>
      <c r="K24">
        <v>1833304</v>
      </c>
      <c r="L24">
        <v>1838643.5361767199</v>
      </c>
      <c r="M24">
        <v>1838439.36883631</v>
      </c>
      <c r="O24">
        <v>1800.66104459762</v>
      </c>
      <c r="P24">
        <v>5.6397986412048304</v>
      </c>
      <c r="Q24">
        <v>1800.9729650020599</v>
      </c>
      <c r="R24">
        <v>290</v>
      </c>
      <c r="S24">
        <v>447</v>
      </c>
      <c r="T24">
        <v>210</v>
      </c>
      <c r="U24">
        <v>237</v>
      </c>
      <c r="V24">
        <v>0</v>
      </c>
      <c r="W24">
        <v>10</v>
      </c>
      <c r="X24">
        <v>9</v>
      </c>
      <c r="Y24">
        <v>9</v>
      </c>
      <c r="Z24">
        <v>1789944</v>
      </c>
      <c r="AA24">
        <v>1825820</v>
      </c>
      <c r="AB24">
        <v>3.7428405284881499</v>
      </c>
      <c r="AC24">
        <v>307.23403191566399</v>
      </c>
      <c r="AD24">
        <v>17</v>
      </c>
      <c r="AE24">
        <v>8</v>
      </c>
    </row>
    <row r="25" spans="1:31" x14ac:dyDescent="0.35">
      <c r="A25" t="s">
        <v>30</v>
      </c>
      <c r="B25" t="s">
        <v>44</v>
      </c>
      <c r="C25">
        <v>25</v>
      </c>
      <c r="D25">
        <v>100</v>
      </c>
      <c r="E25">
        <v>2</v>
      </c>
      <c r="F25" t="s">
        <v>32</v>
      </c>
      <c r="H25">
        <v>0</v>
      </c>
      <c r="I25">
        <v>688530</v>
      </c>
      <c r="J25">
        <v>706572</v>
      </c>
      <c r="K25">
        <v>711506</v>
      </c>
      <c r="L25">
        <v>714469</v>
      </c>
      <c r="M25">
        <v>714466.584822451</v>
      </c>
      <c r="O25">
        <v>1801.3905811309801</v>
      </c>
      <c r="P25">
        <v>3.9396474361419598</v>
      </c>
      <c r="Q25">
        <v>1800.8678283691399</v>
      </c>
      <c r="R25">
        <v>332</v>
      </c>
      <c r="S25">
        <v>547</v>
      </c>
      <c r="T25">
        <v>247</v>
      </c>
      <c r="U25">
        <v>300</v>
      </c>
      <c r="V25">
        <v>0</v>
      </c>
      <c r="W25">
        <v>12</v>
      </c>
      <c r="X25">
        <v>9</v>
      </c>
      <c r="Y25">
        <v>9</v>
      </c>
      <c r="Z25">
        <v>690075</v>
      </c>
      <c r="AA25">
        <v>706207</v>
      </c>
      <c r="AB25">
        <v>1.4489431381225499</v>
      </c>
      <c r="AC25">
        <v>303.76215910911498</v>
      </c>
      <c r="AD25">
        <v>11</v>
      </c>
      <c r="AE25">
        <v>5</v>
      </c>
    </row>
    <row r="26" spans="1:31" x14ac:dyDescent="0.35">
      <c r="A26" t="s">
        <v>30</v>
      </c>
      <c r="B26" t="s">
        <v>52</v>
      </c>
      <c r="C26">
        <v>30</v>
      </c>
      <c r="D26">
        <v>100</v>
      </c>
      <c r="E26">
        <v>8</v>
      </c>
      <c r="F26" t="s">
        <v>32</v>
      </c>
      <c r="H26">
        <v>0</v>
      </c>
      <c r="I26">
        <v>3307260</v>
      </c>
      <c r="J26">
        <v>3331604</v>
      </c>
      <c r="K26">
        <v>3351221</v>
      </c>
      <c r="L26">
        <v>3356925.8028021599</v>
      </c>
      <c r="M26">
        <v>3356802.1778692501</v>
      </c>
      <c r="O26">
        <v>1800.7190647125201</v>
      </c>
      <c r="P26">
        <v>26.3129751682281</v>
      </c>
      <c r="Q26">
        <v>1802.85377693176</v>
      </c>
      <c r="R26">
        <v>197</v>
      </c>
      <c r="S26">
        <v>397</v>
      </c>
      <c r="T26">
        <v>203</v>
      </c>
      <c r="U26">
        <v>194</v>
      </c>
      <c r="V26">
        <v>0</v>
      </c>
      <c r="W26">
        <v>7</v>
      </c>
      <c r="X26">
        <v>9</v>
      </c>
      <c r="Y26">
        <v>9</v>
      </c>
      <c r="Z26">
        <v>3311171</v>
      </c>
      <c r="AA26">
        <v>3334819</v>
      </c>
      <c r="AB26">
        <v>15.062152624130199</v>
      </c>
      <c r="AC26">
        <v>307.35489749908402</v>
      </c>
      <c r="AD26">
        <v>10</v>
      </c>
      <c r="AE26">
        <v>4</v>
      </c>
    </row>
    <row r="27" spans="1:31" x14ac:dyDescent="0.35">
      <c r="A27" t="s">
        <v>30</v>
      </c>
      <c r="B27" t="s">
        <v>51</v>
      </c>
      <c r="C27">
        <v>30</v>
      </c>
      <c r="D27">
        <v>100</v>
      </c>
      <c r="E27">
        <v>5</v>
      </c>
      <c r="F27" t="s">
        <v>32</v>
      </c>
      <c r="H27">
        <v>0</v>
      </c>
      <c r="I27">
        <v>2477091</v>
      </c>
      <c r="J27">
        <v>2528662</v>
      </c>
      <c r="K27">
        <v>2535347</v>
      </c>
      <c r="L27">
        <v>2545063.5389459399</v>
      </c>
      <c r="M27">
        <v>2544738.0524646901</v>
      </c>
      <c r="O27">
        <v>1800.8455049991601</v>
      </c>
      <c r="P27">
        <v>8.3954119682311994</v>
      </c>
      <c r="Q27">
        <v>1801.31254053115</v>
      </c>
      <c r="R27">
        <v>357</v>
      </c>
      <c r="S27">
        <v>475</v>
      </c>
      <c r="T27">
        <v>227</v>
      </c>
      <c r="U27">
        <v>248</v>
      </c>
      <c r="V27">
        <v>0</v>
      </c>
      <c r="W27">
        <v>9</v>
      </c>
      <c r="X27">
        <v>9</v>
      </c>
      <c r="Y27">
        <v>9</v>
      </c>
      <c r="Z27">
        <v>2489983</v>
      </c>
      <c r="AA27">
        <v>2528836</v>
      </c>
      <c r="AB27">
        <v>3.26167869567871</v>
      </c>
      <c r="AC27">
        <v>305.18248820304802</v>
      </c>
      <c r="AD27">
        <v>14</v>
      </c>
      <c r="AE27">
        <v>6</v>
      </c>
    </row>
    <row r="28" spans="1:31" x14ac:dyDescent="0.35">
      <c r="A28" t="s">
        <v>30</v>
      </c>
      <c r="B28" t="s">
        <v>50</v>
      </c>
      <c r="C28">
        <v>30</v>
      </c>
      <c r="D28">
        <v>100</v>
      </c>
      <c r="E28">
        <v>2</v>
      </c>
      <c r="F28" t="s">
        <v>32</v>
      </c>
      <c r="H28">
        <v>0</v>
      </c>
      <c r="I28">
        <v>1075887</v>
      </c>
      <c r="J28">
        <v>1095662</v>
      </c>
      <c r="K28">
        <v>1104588</v>
      </c>
      <c r="L28">
        <v>1109856.05253138</v>
      </c>
      <c r="M28">
        <v>1109714.31477569</v>
      </c>
      <c r="O28">
        <v>1800.9223611354801</v>
      </c>
      <c r="P28">
        <v>4.6951794624328604</v>
      </c>
      <c r="Q28">
        <v>1800.96449160575</v>
      </c>
      <c r="R28">
        <v>312</v>
      </c>
      <c r="S28">
        <v>586</v>
      </c>
      <c r="T28">
        <v>275</v>
      </c>
      <c r="U28">
        <v>311</v>
      </c>
      <c r="V28">
        <v>0</v>
      </c>
      <c r="W28">
        <v>11</v>
      </c>
      <c r="X28">
        <v>9</v>
      </c>
      <c r="Y28">
        <v>9</v>
      </c>
      <c r="Z28">
        <v>1070207</v>
      </c>
      <c r="AA28">
        <v>1095863</v>
      </c>
      <c r="AB28">
        <v>1.37230443954467</v>
      </c>
      <c r="AC28">
        <v>304.39735627174298</v>
      </c>
      <c r="AD28">
        <v>8</v>
      </c>
      <c r="AE28">
        <v>6</v>
      </c>
    </row>
  </sheetData>
  <autoFilter ref="A1:AE1" xr:uid="{6CFF7FE8-F49D-4898-80AA-2B71A56CE7B4}">
    <sortState xmlns:xlrd2="http://schemas.microsoft.com/office/spreadsheetml/2017/richdata2" ref="A2:AE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BZRvsZR</vt:lpstr>
      <vt:lpstr>RR-BRD</vt:lpstr>
      <vt:lpstr>KPG_test_A_original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Hyunwoo</cp:lastModifiedBy>
  <dcterms:created xsi:type="dcterms:W3CDTF">2025-12-15T15:51:10Z</dcterms:created>
  <dcterms:modified xsi:type="dcterms:W3CDTF">2026-01-25T15:07:42Z</dcterms:modified>
</cp:coreProperties>
</file>