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hyunwoolee_vt_edu/Documents/Hyunwoo Research/upload/BZR_KPG/KPG_results/"/>
    </mc:Choice>
  </mc:AlternateContent>
  <xr:revisionPtr revIDLastSave="143" documentId="8_{27770D3E-B057-42E7-8E29-536967CC70E0}" xr6:coauthVersionLast="47" xr6:coauthVersionMax="47" xr10:uidLastSave="{1FA9D954-662F-43EC-B555-E06B49C782CC}"/>
  <bookViews>
    <workbookView xWindow="57480" yWindow="-120" windowWidth="38640" windowHeight="21120" xr2:uid="{27EFCD75-0E80-4C1D-A7BD-564248AC6354}"/>
  </bookViews>
  <sheets>
    <sheet name="BZRvsZR" sheetId="4" r:id="rId1"/>
    <sheet name="RR-BRD" sheetId="3" r:id="rId2"/>
    <sheet name="KPG_test_B_original" sheetId="1" r:id="rId3"/>
  </sheets>
  <definedNames>
    <definedName name="_xlnm._FilterDatabase" localSheetId="2" hidden="1">KPG_test_B_original!$A$1:$AE$1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3" l="1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P29" i="4"/>
  <c r="O29" i="4"/>
  <c r="J29" i="4"/>
  <c r="D29" i="4"/>
  <c r="C29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" i="4"/>
  <c r="D29" i="3"/>
  <c r="E29" i="3"/>
  <c r="G29" i="3"/>
  <c r="H29" i="3"/>
  <c r="I29" i="3"/>
  <c r="J29" i="3"/>
  <c r="K29" i="3"/>
  <c r="L29" i="3"/>
  <c r="C29" i="3"/>
  <c r="F29" i="3" l="1"/>
</calcChain>
</file>

<file path=xl/sharedStrings.xml><?xml version="1.0" encoding="utf-8"?>
<sst xmlns="http://schemas.openxmlformats.org/spreadsheetml/2006/main" count="183" uniqueCount="61">
  <si>
    <t>filename</t>
  </si>
  <si>
    <t>players</t>
  </si>
  <si>
    <t>items</t>
  </si>
  <si>
    <t>budgets</t>
  </si>
  <si>
    <t>category</t>
  </si>
  <si>
    <t>ZR_1st</t>
  </si>
  <si>
    <t>ZR</t>
  </si>
  <si>
    <t>BZR_1st</t>
  </si>
  <si>
    <t>BZR</t>
  </si>
  <si>
    <t>OSW</t>
  </si>
  <si>
    <t>bound_ZR</t>
  </si>
  <si>
    <t>bound_BZR</t>
  </si>
  <si>
    <t>ZR_1st_T</t>
  </si>
  <si>
    <t>ZR_T</t>
  </si>
  <si>
    <t>BZR_1st_T</t>
  </si>
  <si>
    <t>BZR_T</t>
  </si>
  <si>
    <t>Cuts_ZR</t>
  </si>
  <si>
    <t>Cuts_BZR_total</t>
  </si>
  <si>
    <t>Cuts_BZR</t>
  </si>
  <si>
    <t>Ad_Cuts_BZR</t>
  </si>
  <si>
    <t>num_PNEs_ZR</t>
  </si>
  <si>
    <t>num_PNEs_BZR</t>
  </si>
  <si>
    <t>Status_ZR</t>
  </si>
  <si>
    <t>Status_BZR</t>
  </si>
  <si>
    <t>BRD(0)</t>
  </si>
  <si>
    <t>BRD(OSW)</t>
  </si>
  <si>
    <t>BRD(0)_T</t>
  </si>
  <si>
    <t>BRD(OSW)_T</t>
  </si>
  <si>
    <t>it_BRD(0)</t>
  </si>
  <si>
    <t>it_BRD(OSW)</t>
  </si>
  <si>
    <t>Total</t>
  </si>
  <si>
    <t>10-100-2-cij.txt</t>
  </si>
  <si>
    <t>B</t>
  </si>
  <si>
    <t>10-100-5-cij.txt</t>
  </si>
  <si>
    <t>10-100-8-cij.txt</t>
  </si>
  <si>
    <t>15-100-2-cij.txt</t>
  </si>
  <si>
    <t>15-100-5-cij.txt</t>
  </si>
  <si>
    <t>15-100-8-cij.txt</t>
  </si>
  <si>
    <t>2-100-2-cij.txt</t>
  </si>
  <si>
    <t>2-100-5-cij.txt</t>
  </si>
  <si>
    <t>2-100-8-cij.txt</t>
  </si>
  <si>
    <t>20-100-2-cij.txt</t>
  </si>
  <si>
    <t>20-100-5-cij.txt</t>
  </si>
  <si>
    <t>20-100-8-cij.txt</t>
  </si>
  <si>
    <t>25-100-2-cij.txt</t>
  </si>
  <si>
    <t>25-100-5-cij.txt</t>
  </si>
  <si>
    <t>25-100-8-cij.txt</t>
  </si>
  <si>
    <t>3-100-2-cij.txt</t>
  </si>
  <si>
    <t>3-100-5-cij.txt</t>
  </si>
  <si>
    <t>3-100-8-cij.txt</t>
  </si>
  <si>
    <t>30-100-2-cij.txt</t>
  </si>
  <si>
    <t>30-100-5-cij.txt</t>
  </si>
  <si>
    <t>30-100-8-cij.txt</t>
  </si>
  <si>
    <t>5-100-2-cij.txt</t>
  </si>
  <si>
    <t>5-100-5-cij.txt</t>
  </si>
  <si>
    <t>5-100-8-cij.txt</t>
  </si>
  <si>
    <t>8-100-2-cij.txt</t>
  </si>
  <si>
    <t>8-100-5-cij.txt</t>
  </si>
  <si>
    <t>8-100-8-cij.txt</t>
  </si>
  <si>
    <t>POS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</si>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</sst>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6FC6-FA74-4A4B-8161-28279AD1F812}">
  <dimension ref="A1:P29"/>
  <sheetViews>
    <sheetView tabSelected="1" workbookViewId="0">
      <selection activeCell="G48" sqref="G48"/>
    </sheetView>
  </sheetViews>
  <sheetFormatPr defaultRowHeight="14.5" x14ac:dyDescent="0.35"/>
  <cols>
    <col min="11" max="11" width="9.08984375" bestFit="1" customWidth="1"/>
    <col min="12" max="12" width="9.36328125" bestFit="1" customWidth="1"/>
    <col min="13" max="13" width="9.08984375" bestFit="1" customWidth="1"/>
    <col min="14" max="14" width="9.36328125" bestFit="1" customWidth="1"/>
  </cols>
  <sheetData>
    <row r="1" spans="1:16" x14ac:dyDescent="0.35">
      <c r="A1" t="s">
        <v>1</v>
      </c>
      <c r="B1" t="s">
        <v>3</v>
      </c>
      <c r="C1" t="s">
        <v>20</v>
      </c>
      <c r="D1" t="s">
        <v>21</v>
      </c>
      <c r="E1" t="s">
        <v>6</v>
      </c>
      <c r="F1" t="s">
        <v>8</v>
      </c>
      <c r="G1" t="s">
        <v>10</v>
      </c>
      <c r="H1" t="s">
        <v>11</v>
      </c>
      <c r="I1" t="s">
        <v>9</v>
      </c>
      <c r="J1" t="s">
        <v>59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35">
      <c r="A2">
        <v>2</v>
      </c>
      <c r="B2">
        <v>0.2</v>
      </c>
      <c r="C2">
        <v>2</v>
      </c>
      <c r="D2" s="3">
        <v>11</v>
      </c>
      <c r="E2" s="1">
        <v>8.1560000000000006</v>
      </c>
      <c r="F2" s="1">
        <v>8.1560000000000006</v>
      </c>
      <c r="G2" s="1">
        <v>8.1560000000000006</v>
      </c>
      <c r="H2" s="1">
        <v>8.1560000000000006</v>
      </c>
      <c r="I2" s="1">
        <v>8.3030000000000008</v>
      </c>
      <c r="J2" s="2">
        <f>I2/F2</f>
        <v>1.0180235409514469</v>
      </c>
      <c r="K2" s="1">
        <v>10.5888156890869</v>
      </c>
      <c r="L2" s="1">
        <v>12.9732072353363</v>
      </c>
      <c r="M2" s="1">
        <v>9.2690944671630804E-2</v>
      </c>
      <c r="N2" s="1">
        <v>4.4445321559905997</v>
      </c>
      <c r="O2">
        <v>1976</v>
      </c>
      <c r="P2">
        <v>1918</v>
      </c>
    </row>
    <row r="3" spans="1:16" x14ac:dyDescent="0.35">
      <c r="B3">
        <v>0.5</v>
      </c>
      <c r="C3">
        <v>4</v>
      </c>
      <c r="D3" s="3">
        <v>116</v>
      </c>
      <c r="E3" s="1">
        <v>14.246</v>
      </c>
      <c r="F3" s="1">
        <v>14.246</v>
      </c>
      <c r="G3" s="1">
        <v>14.247</v>
      </c>
      <c r="H3" s="1">
        <v>14.246</v>
      </c>
      <c r="I3" s="1">
        <v>14.39</v>
      </c>
      <c r="J3" s="2">
        <f t="shared" ref="J3:J28" si="0">I3/F3</f>
        <v>1.0101081005194441</v>
      </c>
      <c r="K3" s="1">
        <v>67.380537271499605</v>
      </c>
      <c r="L3" s="1">
        <v>124.563162565231</v>
      </c>
      <c r="M3" s="1">
        <v>0.185768127441406</v>
      </c>
      <c r="N3" s="1">
        <v>57.6508755683898</v>
      </c>
      <c r="O3">
        <v>2281</v>
      </c>
      <c r="P3">
        <v>2131</v>
      </c>
    </row>
    <row r="4" spans="1:16" x14ac:dyDescent="0.35">
      <c r="B4">
        <v>0.8</v>
      </c>
      <c r="C4">
        <v>1</v>
      </c>
      <c r="D4" s="3">
        <v>9</v>
      </c>
      <c r="E4" s="1">
        <v>19.053999999999998</v>
      </c>
      <c r="F4" s="1">
        <v>19.053999999999998</v>
      </c>
      <c r="G4" s="1">
        <v>19.053999999999998</v>
      </c>
      <c r="H4" s="1">
        <v>19.055</v>
      </c>
      <c r="I4" s="1">
        <v>19.084</v>
      </c>
      <c r="J4" s="2">
        <f t="shared" si="0"/>
        <v>1.0015744725516953</v>
      </c>
      <c r="K4" s="1">
        <v>1.1444187164306601</v>
      </c>
      <c r="L4" s="1">
        <v>1.33159899711608</v>
      </c>
      <c r="M4" s="1">
        <v>0.34717798233032199</v>
      </c>
      <c r="N4" s="1">
        <v>2.2793893814086901</v>
      </c>
      <c r="O4">
        <v>1224</v>
      </c>
      <c r="P4">
        <v>1239</v>
      </c>
    </row>
    <row r="5" spans="1:16" x14ac:dyDescent="0.35">
      <c r="A5">
        <v>3</v>
      </c>
      <c r="B5">
        <v>0.2</v>
      </c>
      <c r="C5">
        <v>3</v>
      </c>
      <c r="D5" s="3">
        <v>217</v>
      </c>
      <c r="E5" s="1">
        <v>15.561</v>
      </c>
      <c r="F5" s="1">
        <v>15.583</v>
      </c>
      <c r="G5" s="1">
        <v>15.670999999999999</v>
      </c>
      <c r="H5" s="4">
        <v>15.583</v>
      </c>
      <c r="I5" s="1">
        <v>15.946</v>
      </c>
      <c r="J5" s="2">
        <f t="shared" si="0"/>
        <v>1.0232946159276135</v>
      </c>
      <c r="K5" s="1">
        <v>630.16116666793801</v>
      </c>
      <c r="L5" s="1">
        <v>1800.1323361396701</v>
      </c>
      <c r="M5" s="1">
        <v>0.119795322418212</v>
      </c>
      <c r="N5" s="1">
        <v>1645.7333676815001</v>
      </c>
      <c r="O5">
        <v>2436</v>
      </c>
      <c r="P5">
        <v>2339</v>
      </c>
    </row>
    <row r="6" spans="1:16" x14ac:dyDescent="0.35">
      <c r="B6">
        <v>0.5</v>
      </c>
      <c r="C6">
        <v>0</v>
      </c>
      <c r="D6" s="3">
        <v>282</v>
      </c>
      <c r="E6" s="1" t="s">
        <v>60</v>
      </c>
      <c r="F6" s="4">
        <v>28.942</v>
      </c>
      <c r="G6" s="1">
        <v>29.161000000000001</v>
      </c>
      <c r="H6" s="4">
        <v>29.129000000000001</v>
      </c>
      <c r="I6" s="1">
        <v>29.393000000000001</v>
      </c>
      <c r="J6" s="2">
        <f t="shared" si="0"/>
        <v>1.0155828899177666</v>
      </c>
      <c r="K6" s="1" t="s">
        <v>60</v>
      </c>
      <c r="L6" s="1">
        <v>1800.18692541122</v>
      </c>
      <c r="M6" s="1">
        <v>0.19045281410217199</v>
      </c>
      <c r="N6" s="1">
        <v>1800.32271790504</v>
      </c>
      <c r="O6">
        <v>2817</v>
      </c>
      <c r="P6">
        <v>2610</v>
      </c>
    </row>
    <row r="7" spans="1:16" x14ac:dyDescent="0.35">
      <c r="B7">
        <v>0.8</v>
      </c>
      <c r="C7">
        <v>2</v>
      </c>
      <c r="D7" s="3">
        <v>347</v>
      </c>
      <c r="E7" s="1">
        <v>40.018000000000001</v>
      </c>
      <c r="F7" s="1">
        <v>40.018000000000001</v>
      </c>
      <c r="G7" s="1">
        <v>40.097000000000001</v>
      </c>
      <c r="H7" s="1">
        <v>40.101999999999997</v>
      </c>
      <c r="I7" s="1">
        <v>40.281999999999996</v>
      </c>
      <c r="J7" s="2">
        <f t="shared" si="0"/>
        <v>1.0065970313358987</v>
      </c>
      <c r="K7" s="1">
        <v>383.22914838790803</v>
      </c>
      <c r="L7" s="1">
        <v>1800.32602620124</v>
      </c>
      <c r="M7" s="1">
        <v>0.83370304107666005</v>
      </c>
      <c r="N7" s="1">
        <v>1800.2696557044901</v>
      </c>
      <c r="O7">
        <v>2297</v>
      </c>
      <c r="P7">
        <v>2658</v>
      </c>
    </row>
    <row r="8" spans="1:16" x14ac:dyDescent="0.35">
      <c r="A8">
        <v>5</v>
      </c>
      <c r="B8">
        <v>0.2</v>
      </c>
      <c r="C8">
        <v>0</v>
      </c>
      <c r="D8" s="3">
        <v>94</v>
      </c>
      <c r="E8" s="1" t="s">
        <v>60</v>
      </c>
      <c r="F8" s="4">
        <v>40.404000000000003</v>
      </c>
      <c r="G8" s="1">
        <v>40.843000000000004</v>
      </c>
      <c r="H8" s="1">
        <v>40.783999999999999</v>
      </c>
      <c r="I8" s="1">
        <v>40.932000000000002</v>
      </c>
      <c r="J8" s="2">
        <f t="shared" si="0"/>
        <v>1.013068013068013</v>
      </c>
      <c r="K8" s="1" t="s">
        <v>60</v>
      </c>
      <c r="L8" s="1">
        <v>1800.6469836235001</v>
      </c>
      <c r="M8" s="1">
        <v>0.35418033599853499</v>
      </c>
      <c r="N8" s="1">
        <v>1800.28637599945</v>
      </c>
      <c r="O8">
        <v>694</v>
      </c>
      <c r="P8">
        <v>935</v>
      </c>
    </row>
    <row r="9" spans="1:16" x14ac:dyDescent="0.35">
      <c r="B9">
        <v>0.5</v>
      </c>
      <c r="C9">
        <v>0</v>
      </c>
      <c r="D9" s="3">
        <v>158</v>
      </c>
      <c r="E9" s="1" t="s">
        <v>60</v>
      </c>
      <c r="F9" s="4">
        <v>78.061000000000007</v>
      </c>
      <c r="G9" s="1">
        <v>78.796999999999997</v>
      </c>
      <c r="H9" s="1">
        <v>78.763000000000005</v>
      </c>
      <c r="I9" s="1">
        <v>78.840999999999994</v>
      </c>
      <c r="J9" s="2">
        <f t="shared" si="0"/>
        <v>1.0099921855984422</v>
      </c>
      <c r="K9" s="1" t="s">
        <v>60</v>
      </c>
      <c r="L9" s="1">
        <v>1800.31069278717</v>
      </c>
      <c r="M9" s="1">
        <v>0.77392792701721103</v>
      </c>
      <c r="N9" s="1">
        <v>1800.44499254226</v>
      </c>
      <c r="O9">
        <v>1373</v>
      </c>
      <c r="P9">
        <v>1556</v>
      </c>
    </row>
    <row r="10" spans="1:16" x14ac:dyDescent="0.35">
      <c r="B10">
        <v>0.8</v>
      </c>
      <c r="C10">
        <v>0</v>
      </c>
      <c r="D10" s="3">
        <v>91</v>
      </c>
      <c r="E10" s="1" t="s">
        <v>60</v>
      </c>
      <c r="F10" s="4">
        <v>108.34699999999999</v>
      </c>
      <c r="G10" s="1">
        <v>108.673</v>
      </c>
      <c r="H10" s="4">
        <v>108.634</v>
      </c>
      <c r="I10" s="1">
        <v>108.667</v>
      </c>
      <c r="J10" s="2">
        <f t="shared" si="0"/>
        <v>1.0029534735617969</v>
      </c>
      <c r="K10" s="1" t="s">
        <v>60</v>
      </c>
      <c r="L10" s="1">
        <v>1800.3984084129299</v>
      </c>
      <c r="M10" s="1">
        <v>3.52384305000305</v>
      </c>
      <c r="N10" s="1">
        <v>1800.1509046554499</v>
      </c>
      <c r="O10">
        <v>1840</v>
      </c>
      <c r="P10">
        <v>837</v>
      </c>
    </row>
    <row r="11" spans="1:16" x14ac:dyDescent="0.35">
      <c r="A11">
        <v>8</v>
      </c>
      <c r="B11">
        <v>0.2</v>
      </c>
      <c r="C11">
        <v>0</v>
      </c>
      <c r="D11" s="3">
        <v>65</v>
      </c>
      <c r="E11" s="1" t="s">
        <v>60</v>
      </c>
      <c r="F11" s="4">
        <v>91.614000000000004</v>
      </c>
      <c r="G11" s="1">
        <v>92.729998396758191</v>
      </c>
      <c r="H11" s="1">
        <v>92.661000000000001</v>
      </c>
      <c r="I11" s="1">
        <v>92.617999999999995</v>
      </c>
      <c r="J11" s="2">
        <f t="shared" si="0"/>
        <v>1.0109590237299975</v>
      </c>
      <c r="K11" s="1" t="s">
        <v>60</v>
      </c>
      <c r="L11" s="1">
        <v>1800.91361308097</v>
      </c>
      <c r="M11" s="1">
        <v>0.88244152069091797</v>
      </c>
      <c r="N11" s="1">
        <v>1800.56633710861</v>
      </c>
      <c r="O11">
        <v>837</v>
      </c>
      <c r="P11">
        <v>957</v>
      </c>
    </row>
    <row r="12" spans="1:16" x14ac:dyDescent="0.35">
      <c r="B12">
        <v>0.5</v>
      </c>
      <c r="C12">
        <v>0</v>
      </c>
      <c r="D12" s="3">
        <v>81</v>
      </c>
      <c r="E12" s="1" t="s">
        <v>60</v>
      </c>
      <c r="F12" s="4">
        <v>188.64</v>
      </c>
      <c r="G12" s="1">
        <v>190.00200000000001</v>
      </c>
      <c r="H12" s="4">
        <v>189.929</v>
      </c>
      <c r="I12" s="1">
        <v>189.88499999999999</v>
      </c>
      <c r="J12" s="2">
        <f t="shared" si="0"/>
        <v>1.006599872773537</v>
      </c>
      <c r="K12" s="1" t="s">
        <v>60</v>
      </c>
      <c r="L12" s="1">
        <v>1800.9560959339101</v>
      </c>
      <c r="M12" s="1">
        <v>1.71654200553894</v>
      </c>
      <c r="N12" s="1">
        <v>1801.0773682594299</v>
      </c>
      <c r="O12">
        <v>936</v>
      </c>
      <c r="P12">
        <v>1160</v>
      </c>
    </row>
    <row r="13" spans="1:16" x14ac:dyDescent="0.35">
      <c r="B13">
        <v>0.8</v>
      </c>
      <c r="C13">
        <v>0</v>
      </c>
      <c r="D13" s="3">
        <v>21</v>
      </c>
      <c r="E13" s="1" t="s">
        <v>60</v>
      </c>
      <c r="F13" s="4">
        <v>272.81900000000002</v>
      </c>
      <c r="G13" s="1">
        <v>273.38900000000001</v>
      </c>
      <c r="H13" s="4">
        <v>273.18700000000001</v>
      </c>
      <c r="I13" s="1">
        <v>273.10500000000002</v>
      </c>
      <c r="J13" s="2">
        <f t="shared" si="0"/>
        <v>1.0010483140836965</v>
      </c>
      <c r="K13" s="1" t="s">
        <v>60</v>
      </c>
      <c r="L13" s="1">
        <v>1800.4333794116901</v>
      </c>
      <c r="M13" s="1">
        <v>8.6464281082153303</v>
      </c>
      <c r="N13" s="1">
        <v>1800.41609406471</v>
      </c>
      <c r="O13">
        <v>968</v>
      </c>
      <c r="P13">
        <v>285</v>
      </c>
    </row>
    <row r="14" spans="1:16" x14ac:dyDescent="0.35">
      <c r="A14">
        <v>10</v>
      </c>
      <c r="B14">
        <v>0.2</v>
      </c>
      <c r="C14">
        <v>0</v>
      </c>
      <c r="D14" s="3">
        <v>45</v>
      </c>
      <c r="E14" s="1" t="s">
        <v>60</v>
      </c>
      <c r="F14" s="4">
        <v>135.953</v>
      </c>
      <c r="G14" s="1">
        <v>137.12799999999999</v>
      </c>
      <c r="H14" s="4">
        <v>137.01388623837099</v>
      </c>
      <c r="I14" s="1">
        <v>136.90600000000001</v>
      </c>
      <c r="J14" s="2">
        <f t="shared" si="0"/>
        <v>1.0070097754370997</v>
      </c>
      <c r="K14" s="1" t="s">
        <v>60</v>
      </c>
      <c r="L14" s="1">
        <v>1801.23890376091</v>
      </c>
      <c r="M14" s="1">
        <v>0.55653953552246005</v>
      </c>
      <c r="N14" s="1">
        <v>1800.56481003761</v>
      </c>
      <c r="O14">
        <v>458</v>
      </c>
      <c r="P14">
        <v>748</v>
      </c>
    </row>
    <row r="15" spans="1:16" x14ac:dyDescent="0.35">
      <c r="B15">
        <v>0.5</v>
      </c>
      <c r="C15">
        <v>0</v>
      </c>
      <c r="D15" s="3">
        <v>29</v>
      </c>
      <c r="E15" s="1" t="s">
        <v>60</v>
      </c>
      <c r="F15" s="4">
        <v>287.55799999999999</v>
      </c>
      <c r="G15" s="1">
        <v>289.45</v>
      </c>
      <c r="H15" s="4">
        <v>289.37799999999999</v>
      </c>
      <c r="I15" s="1">
        <v>289.04300000000001</v>
      </c>
      <c r="J15" s="2">
        <f t="shared" si="0"/>
        <v>1.0051641755750145</v>
      </c>
      <c r="K15" s="1" t="s">
        <v>60</v>
      </c>
      <c r="L15" s="1">
        <v>1800.94841456413</v>
      </c>
      <c r="M15" s="1">
        <v>1.83769583702087</v>
      </c>
      <c r="N15" s="1">
        <v>1801.5574636459301</v>
      </c>
      <c r="O15">
        <v>426</v>
      </c>
      <c r="P15">
        <v>534</v>
      </c>
    </row>
    <row r="16" spans="1:16" x14ac:dyDescent="0.35">
      <c r="B16">
        <v>0.8</v>
      </c>
      <c r="C16">
        <v>0</v>
      </c>
      <c r="D16" s="3">
        <v>29</v>
      </c>
      <c r="E16" s="1" t="s">
        <v>60</v>
      </c>
      <c r="F16" s="4">
        <v>426.87700000000001</v>
      </c>
      <c r="G16" s="1">
        <v>428.3928937645</v>
      </c>
      <c r="H16" s="4">
        <v>428.25200000000001</v>
      </c>
      <c r="I16" s="1">
        <v>427.755</v>
      </c>
      <c r="J16" s="2">
        <f t="shared" si="0"/>
        <v>1.0020567985625837</v>
      </c>
      <c r="K16" s="1" t="s">
        <v>60</v>
      </c>
      <c r="L16" s="1">
        <v>1801.62596917152</v>
      </c>
      <c r="M16" s="1">
        <v>5.2817542552947998</v>
      </c>
      <c r="N16" s="1">
        <v>1801.13102412223</v>
      </c>
      <c r="O16">
        <v>648</v>
      </c>
      <c r="P16">
        <v>481</v>
      </c>
    </row>
    <row r="17" spans="1:16" x14ac:dyDescent="0.35">
      <c r="A17">
        <v>15</v>
      </c>
      <c r="B17">
        <v>0.2</v>
      </c>
      <c r="C17">
        <v>0</v>
      </c>
      <c r="D17" s="3">
        <v>41</v>
      </c>
      <c r="E17" s="1" t="s">
        <v>60</v>
      </c>
      <c r="F17" s="4">
        <v>287.03899999999999</v>
      </c>
      <c r="G17" s="1">
        <v>290.63400000000001</v>
      </c>
      <c r="H17" s="4">
        <v>290.54375470185602</v>
      </c>
      <c r="I17" s="1">
        <v>289.51499999999999</v>
      </c>
      <c r="J17" s="2">
        <f t="shared" si="0"/>
        <v>1.0086260055253815</v>
      </c>
      <c r="K17" s="1" t="s">
        <v>60</v>
      </c>
      <c r="L17" s="1">
        <v>1801.3278586864401</v>
      </c>
      <c r="M17" s="1">
        <v>10.148464679718</v>
      </c>
      <c r="N17" s="1">
        <v>1800.9876611232701</v>
      </c>
      <c r="O17">
        <v>470</v>
      </c>
      <c r="P17">
        <v>1004</v>
      </c>
    </row>
    <row r="18" spans="1:16" x14ac:dyDescent="0.35">
      <c r="B18">
        <v>0.5</v>
      </c>
      <c r="C18">
        <v>0</v>
      </c>
      <c r="D18" s="3">
        <v>13</v>
      </c>
      <c r="E18" s="1" t="s">
        <v>60</v>
      </c>
      <c r="F18" s="4">
        <v>642.66300000000001</v>
      </c>
      <c r="G18" s="1">
        <v>645.67661853385403</v>
      </c>
      <c r="H18" s="4">
        <v>645.36749544664201</v>
      </c>
      <c r="I18" s="1">
        <v>643.995</v>
      </c>
      <c r="J18" s="2">
        <f t="shared" si="0"/>
        <v>1.0020726259330317</v>
      </c>
      <c r="K18" s="1" t="s">
        <v>60</v>
      </c>
      <c r="L18" s="1">
        <v>1800.73908090591</v>
      </c>
      <c r="M18" s="1">
        <v>9.6914582252502406</v>
      </c>
      <c r="N18" s="1">
        <v>1801.3747024536101</v>
      </c>
      <c r="O18">
        <v>296</v>
      </c>
      <c r="P18">
        <v>310</v>
      </c>
    </row>
    <row r="19" spans="1:16" x14ac:dyDescent="0.35">
      <c r="B19">
        <v>0.8</v>
      </c>
      <c r="C19">
        <v>0</v>
      </c>
      <c r="D19" s="3">
        <v>12</v>
      </c>
      <c r="E19" s="1" t="s">
        <v>60</v>
      </c>
      <c r="F19" s="4">
        <v>963.79499999999996</v>
      </c>
      <c r="G19" s="1">
        <v>967.0812057374211</v>
      </c>
      <c r="H19" s="4">
        <v>966.52184702957095</v>
      </c>
      <c r="I19" s="1">
        <v>965.17499999999995</v>
      </c>
      <c r="J19" s="2">
        <f t="shared" si="0"/>
        <v>1.001431839758455</v>
      </c>
      <c r="K19" s="1" t="s">
        <v>60</v>
      </c>
      <c r="L19" s="1">
        <v>1800.4740967750499</v>
      </c>
      <c r="M19" s="1">
        <v>18.0225973129272</v>
      </c>
      <c r="N19" s="1">
        <v>1800.7464208602901</v>
      </c>
      <c r="O19">
        <v>258</v>
      </c>
      <c r="P19">
        <v>310</v>
      </c>
    </row>
    <row r="20" spans="1:16" x14ac:dyDescent="0.35">
      <c r="A20">
        <v>20</v>
      </c>
      <c r="B20">
        <v>0.2</v>
      </c>
      <c r="C20">
        <v>0</v>
      </c>
      <c r="D20" s="3">
        <v>17</v>
      </c>
      <c r="E20" s="1" t="s">
        <v>60</v>
      </c>
      <c r="F20" s="4">
        <v>488.66</v>
      </c>
      <c r="G20" s="1">
        <v>493.199727840538</v>
      </c>
      <c r="H20" s="4">
        <v>493.07384637316397</v>
      </c>
      <c r="I20" s="1">
        <v>491.15199999999999</v>
      </c>
      <c r="J20" s="2">
        <f t="shared" si="0"/>
        <v>1.0050996602955018</v>
      </c>
      <c r="K20" s="1" t="s">
        <v>60</v>
      </c>
      <c r="L20" s="1">
        <v>1800.46827578544</v>
      </c>
      <c r="M20" s="1">
        <v>1.9861078262329099</v>
      </c>
      <c r="N20" s="1">
        <v>1800.4321587085699</v>
      </c>
      <c r="O20">
        <v>358</v>
      </c>
      <c r="P20">
        <v>543</v>
      </c>
    </row>
    <row r="21" spans="1:16" x14ac:dyDescent="0.35">
      <c r="B21">
        <v>0.5</v>
      </c>
      <c r="C21">
        <v>0</v>
      </c>
      <c r="D21" s="3">
        <v>11</v>
      </c>
      <c r="E21" s="1" t="s">
        <v>60</v>
      </c>
      <c r="F21" s="4">
        <v>1123.8320000000001</v>
      </c>
      <c r="G21" s="1">
        <v>1129.1592793429199</v>
      </c>
      <c r="H21" s="4">
        <v>1129.01396216944</v>
      </c>
      <c r="I21" s="1">
        <v>1125.5340000000001</v>
      </c>
      <c r="J21" s="2">
        <f t="shared" si="0"/>
        <v>1.001514461236199</v>
      </c>
      <c r="K21" s="1" t="s">
        <v>60</v>
      </c>
      <c r="L21" s="1">
        <v>1800.5591154098499</v>
      </c>
      <c r="M21" s="1">
        <v>2.4340348243713299</v>
      </c>
      <c r="N21" s="1">
        <v>1800.7705850601101</v>
      </c>
      <c r="O21">
        <v>341</v>
      </c>
      <c r="P21">
        <v>354</v>
      </c>
    </row>
    <row r="22" spans="1:16" x14ac:dyDescent="0.35">
      <c r="B22">
        <v>0.8</v>
      </c>
      <c r="C22">
        <v>0</v>
      </c>
      <c r="D22" s="3">
        <v>14</v>
      </c>
      <c r="E22" s="1" t="s">
        <v>60</v>
      </c>
      <c r="F22" s="4">
        <v>1670.692</v>
      </c>
      <c r="G22" s="1">
        <v>1677.6164236142199</v>
      </c>
      <c r="H22" s="4">
        <v>1677.26125197785</v>
      </c>
      <c r="I22" s="1">
        <v>1672.9480000000001</v>
      </c>
      <c r="J22" s="2">
        <f t="shared" si="0"/>
        <v>1.0013503386620635</v>
      </c>
      <c r="K22" s="1" t="s">
        <v>60</v>
      </c>
      <c r="L22" s="1">
        <v>1800.69824028015</v>
      </c>
      <c r="M22" s="1">
        <v>8.6435825824737496</v>
      </c>
      <c r="N22" s="1">
        <v>1800.52103114128</v>
      </c>
      <c r="O22">
        <v>284</v>
      </c>
      <c r="P22">
        <v>371</v>
      </c>
    </row>
    <row r="23" spans="1:16" x14ac:dyDescent="0.35">
      <c r="A23">
        <v>25</v>
      </c>
      <c r="B23">
        <v>0.2</v>
      </c>
      <c r="C23">
        <v>0</v>
      </c>
      <c r="D23" s="3">
        <v>12</v>
      </c>
      <c r="E23" s="1" t="s">
        <v>60</v>
      </c>
      <c r="F23" s="4">
        <v>761.40599999999995</v>
      </c>
      <c r="G23" s="1">
        <v>767.58475759131693</v>
      </c>
      <c r="H23" s="4">
        <v>767.49925252659591</v>
      </c>
      <c r="I23" s="1">
        <v>763.49400000000003</v>
      </c>
      <c r="J23" s="2">
        <f t="shared" si="0"/>
        <v>1.0027422951749789</v>
      </c>
      <c r="K23" s="1" t="s">
        <v>60</v>
      </c>
      <c r="L23" s="1">
        <v>1800.7648398876099</v>
      </c>
      <c r="M23" s="1">
        <v>3.49582743644714</v>
      </c>
      <c r="N23" s="1">
        <v>1800.88493108749</v>
      </c>
      <c r="O23">
        <v>331</v>
      </c>
      <c r="P23">
        <v>450</v>
      </c>
    </row>
    <row r="24" spans="1:16" x14ac:dyDescent="0.35">
      <c r="B24">
        <v>0.5</v>
      </c>
      <c r="C24">
        <v>0</v>
      </c>
      <c r="D24" s="3">
        <v>11</v>
      </c>
      <c r="E24" s="1" t="s">
        <v>60</v>
      </c>
      <c r="F24" s="4">
        <v>1719.924</v>
      </c>
      <c r="G24" s="1">
        <v>1728.6844882472801</v>
      </c>
      <c r="H24" s="4">
        <v>1728.56596417842</v>
      </c>
      <c r="I24" s="1">
        <v>1723.7159999999999</v>
      </c>
      <c r="J24" s="2">
        <f t="shared" si="0"/>
        <v>1.0022047485819141</v>
      </c>
      <c r="K24" s="1" t="s">
        <v>60</v>
      </c>
      <c r="L24" s="1">
        <v>1800.7377140522001</v>
      </c>
      <c r="M24" s="1">
        <v>5.1808276176452601</v>
      </c>
      <c r="N24" s="1">
        <v>1801.00358057022</v>
      </c>
      <c r="O24">
        <v>311</v>
      </c>
      <c r="P24">
        <v>453</v>
      </c>
    </row>
    <row r="25" spans="1:16" x14ac:dyDescent="0.35">
      <c r="B25">
        <v>0.8</v>
      </c>
      <c r="C25">
        <v>0</v>
      </c>
      <c r="D25" s="3">
        <v>11</v>
      </c>
      <c r="E25" s="1" t="s">
        <v>60</v>
      </c>
      <c r="F25" s="4">
        <v>2609.9870000000001</v>
      </c>
      <c r="G25" s="1">
        <v>2623.11559483974</v>
      </c>
      <c r="H25" s="4">
        <v>2622.8852125066901</v>
      </c>
      <c r="I25" s="1">
        <v>2614.3139999999999</v>
      </c>
      <c r="J25" s="2">
        <f t="shared" si="0"/>
        <v>1.0016578626636836</v>
      </c>
      <c r="K25" s="1" t="s">
        <v>60</v>
      </c>
      <c r="L25" s="1">
        <v>1800.8240005969999</v>
      </c>
      <c r="M25" s="1">
        <v>11.047806978225699</v>
      </c>
      <c r="N25" s="1">
        <v>1800.68077683448</v>
      </c>
      <c r="O25">
        <v>429</v>
      </c>
      <c r="P25">
        <v>455</v>
      </c>
    </row>
    <row r="26" spans="1:16" x14ac:dyDescent="0.35">
      <c r="A26">
        <v>30</v>
      </c>
      <c r="B26">
        <v>0.2</v>
      </c>
      <c r="C26">
        <v>0</v>
      </c>
      <c r="D26" s="3">
        <v>11</v>
      </c>
      <c r="E26" s="1" t="s">
        <v>60</v>
      </c>
      <c r="F26" s="4">
        <v>1085.194</v>
      </c>
      <c r="G26" s="1">
        <v>1094.7176709856801</v>
      </c>
      <c r="H26" s="1">
        <v>1094.6514214470801</v>
      </c>
      <c r="I26" s="1">
        <v>1088.8119999999999</v>
      </c>
      <c r="J26" s="2">
        <f t="shared" si="0"/>
        <v>1.0033339660926985</v>
      </c>
      <c r="K26" s="1" t="s">
        <v>60</v>
      </c>
      <c r="L26" s="1">
        <v>1800.88763093948</v>
      </c>
      <c r="M26" s="1">
        <v>5.1066312789916903</v>
      </c>
      <c r="N26" s="1">
        <v>1801.8297493457801</v>
      </c>
      <c r="O26">
        <v>399</v>
      </c>
      <c r="P26">
        <v>539</v>
      </c>
    </row>
    <row r="27" spans="1:16" x14ac:dyDescent="0.35">
      <c r="B27">
        <v>0.5</v>
      </c>
      <c r="C27">
        <v>0</v>
      </c>
      <c r="D27" s="3">
        <v>10</v>
      </c>
      <c r="E27" s="1" t="s">
        <v>60</v>
      </c>
      <c r="F27" s="4">
        <v>2460.3000000000002</v>
      </c>
      <c r="G27" s="1">
        <v>2473.4109758013797</v>
      </c>
      <c r="H27" s="4">
        <v>2473.28612071823</v>
      </c>
      <c r="I27" s="1">
        <v>2465.8470000000002</v>
      </c>
      <c r="J27" s="2">
        <f t="shared" si="0"/>
        <v>1.0022546030971833</v>
      </c>
      <c r="K27" s="1" t="s">
        <v>60</v>
      </c>
      <c r="L27" s="1">
        <v>1800.9324843883501</v>
      </c>
      <c r="M27" s="1">
        <v>8.8854529857635498</v>
      </c>
      <c r="N27" s="1">
        <v>1800.9925560951201</v>
      </c>
      <c r="O27">
        <v>401</v>
      </c>
      <c r="P27">
        <v>504</v>
      </c>
    </row>
    <row r="28" spans="1:16" x14ac:dyDescent="0.35">
      <c r="B28">
        <v>0.8</v>
      </c>
      <c r="C28">
        <v>0</v>
      </c>
      <c r="D28" s="3">
        <v>8</v>
      </c>
      <c r="E28" s="1" t="s">
        <v>60</v>
      </c>
      <c r="F28" s="4">
        <v>3749.0250000000001</v>
      </c>
      <c r="G28" s="4">
        <v>3763.9438945923002</v>
      </c>
      <c r="H28" s="1">
        <v>3763.9607173485001</v>
      </c>
      <c r="I28" s="1">
        <v>3750.7849999999999</v>
      </c>
      <c r="J28" s="2">
        <f t="shared" si="0"/>
        <v>1.000469455391735</v>
      </c>
      <c r="K28" s="1" t="s">
        <v>60</v>
      </c>
      <c r="L28" s="1">
        <v>1800.9944884777001</v>
      </c>
      <c r="M28" s="1">
        <v>24.045845746994001</v>
      </c>
      <c r="N28" s="1">
        <v>1800.81050229072</v>
      </c>
      <c r="O28">
        <v>449</v>
      </c>
      <c r="P28">
        <v>418</v>
      </c>
    </row>
    <row r="29" spans="1:16" x14ac:dyDescent="0.35">
      <c r="C29">
        <f>SUM(C2:C28)</f>
        <v>12</v>
      </c>
      <c r="D29">
        <f>SUM(D2:D28)</f>
        <v>1766</v>
      </c>
      <c r="J29" s="2">
        <f>AVERAGE(J2:J28)</f>
        <v>1.0061774128150693</v>
      </c>
      <c r="O29" s="1">
        <f>AVERAGE(O2:O28)</f>
        <v>945.85185185185185</v>
      </c>
      <c r="P29" s="1">
        <f>AVERAGE(P2:P28)</f>
        <v>966.62962962962968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12F6-E9E7-4E9F-BF7B-D323DF615152}">
  <dimension ref="A1:L29"/>
  <sheetViews>
    <sheetView workbookViewId="0">
      <selection activeCell="A2" sqref="A2:L28"/>
    </sheetView>
  </sheetViews>
  <sheetFormatPr defaultRowHeight="14.5" x14ac:dyDescent="0.35"/>
  <cols>
    <col min="9" max="9" width="8.90625" bestFit="1" customWidth="1"/>
    <col min="10" max="10" width="9.36328125" bestFit="1" customWidth="1"/>
  </cols>
  <sheetData>
    <row r="1" spans="1:12" x14ac:dyDescent="0.35">
      <c r="A1" t="s">
        <v>1</v>
      </c>
      <c r="B1" t="s">
        <v>3</v>
      </c>
      <c r="C1" t="s">
        <v>24</v>
      </c>
      <c r="D1" t="s">
        <v>25</v>
      </c>
      <c r="E1" t="s">
        <v>9</v>
      </c>
      <c r="F1" t="s">
        <v>59</v>
      </c>
      <c r="G1" t="s">
        <v>8</v>
      </c>
      <c r="H1" t="s">
        <v>11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5">
      <c r="A2">
        <v>2</v>
      </c>
      <c r="B2">
        <v>0.2</v>
      </c>
      <c r="C2" s="1">
        <v>8.0259999999999998</v>
      </c>
      <c r="D2" s="1">
        <v>8.1560000000000006</v>
      </c>
      <c r="E2" s="1">
        <v>8.3030000000000008</v>
      </c>
      <c r="F2" s="2">
        <f>E2/MAX(C2,D2)</f>
        <v>1.0180235409514469</v>
      </c>
      <c r="G2" s="1">
        <v>8.1560000000000006</v>
      </c>
      <c r="H2" s="1">
        <v>8.1560000000000006</v>
      </c>
      <c r="I2" s="1">
        <v>3.0277490615844699E-2</v>
      </c>
      <c r="J2" s="1">
        <v>9.75189208984375E-2</v>
      </c>
      <c r="K2">
        <v>3</v>
      </c>
      <c r="L2">
        <v>2</v>
      </c>
    </row>
    <row r="3" spans="1:12" x14ac:dyDescent="0.35">
      <c r="B3">
        <v>0.5</v>
      </c>
      <c r="C3" s="1">
        <v>14.112</v>
      </c>
      <c r="D3" s="1">
        <v>14.157999999999999</v>
      </c>
      <c r="E3" s="1">
        <v>14.39</v>
      </c>
      <c r="F3" s="2">
        <f t="shared" ref="F3:F28" si="0">E3/MAX(C3,D3)</f>
        <v>1.0163864952676933</v>
      </c>
      <c r="G3" s="1">
        <v>14.246</v>
      </c>
      <c r="H3" s="1">
        <v>14.246</v>
      </c>
      <c r="I3" s="1">
        <v>0.16027045249938901</v>
      </c>
      <c r="J3" s="1">
        <v>0.26410937309265098</v>
      </c>
      <c r="K3">
        <v>3</v>
      </c>
      <c r="L3">
        <v>3</v>
      </c>
    </row>
    <row r="4" spans="1:12" x14ac:dyDescent="0.35">
      <c r="B4">
        <v>0.8</v>
      </c>
      <c r="C4" s="1">
        <v>18.844000000000001</v>
      </c>
      <c r="D4" s="1">
        <v>18.991</v>
      </c>
      <c r="E4" s="1">
        <v>19.084</v>
      </c>
      <c r="F4" s="2">
        <f t="shared" si="0"/>
        <v>1.0048970565004476</v>
      </c>
      <c r="G4" s="5">
        <v>19.053999999999998</v>
      </c>
      <c r="H4" s="5">
        <v>19.055</v>
      </c>
      <c r="I4" s="1">
        <v>0.16802954673767001</v>
      </c>
      <c r="J4" s="1">
        <v>0.29820585250854398</v>
      </c>
      <c r="K4">
        <v>3</v>
      </c>
      <c r="L4">
        <v>3</v>
      </c>
    </row>
    <row r="5" spans="1:12" x14ac:dyDescent="0.35">
      <c r="A5">
        <v>3</v>
      </c>
      <c r="B5">
        <v>0.2</v>
      </c>
      <c r="C5" s="1">
        <v>14.83</v>
      </c>
      <c r="D5" s="1">
        <v>15.411</v>
      </c>
      <c r="E5" s="1">
        <v>15.946</v>
      </c>
      <c r="F5" s="2">
        <f t="shared" si="0"/>
        <v>1.0347154629809876</v>
      </c>
      <c r="G5" s="5">
        <v>15.583</v>
      </c>
      <c r="H5" s="5">
        <v>15.583</v>
      </c>
      <c r="I5" s="1">
        <v>4.5006990432739202E-2</v>
      </c>
      <c r="J5" s="1">
        <v>0.33656573295593201</v>
      </c>
      <c r="K5">
        <v>5</v>
      </c>
      <c r="L5">
        <v>3</v>
      </c>
    </row>
    <row r="6" spans="1:12" x14ac:dyDescent="0.35">
      <c r="B6">
        <v>0.5</v>
      </c>
      <c r="C6" s="1">
        <v>28.283000000000001</v>
      </c>
      <c r="D6" s="1">
        <v>28.67</v>
      </c>
      <c r="E6" s="1">
        <v>29.393000000000001</v>
      </c>
      <c r="F6" s="2">
        <f t="shared" si="0"/>
        <v>1.02521799790722</v>
      </c>
      <c r="G6" s="5">
        <v>28.942</v>
      </c>
      <c r="H6" s="5">
        <v>29.129000000000001</v>
      </c>
      <c r="I6" s="1">
        <v>0.121394872665405</v>
      </c>
      <c r="J6" s="1">
        <v>2.83477735519409</v>
      </c>
      <c r="K6">
        <v>5</v>
      </c>
      <c r="L6">
        <v>4</v>
      </c>
    </row>
    <row r="7" spans="1:12" x14ac:dyDescent="0.35">
      <c r="B7">
        <v>0.8</v>
      </c>
      <c r="C7" s="1">
        <v>38.988999999999997</v>
      </c>
      <c r="D7" s="1">
        <v>39.801000000000002</v>
      </c>
      <c r="E7" s="1">
        <v>40.281999999999996</v>
      </c>
      <c r="F7" s="2">
        <f t="shared" si="0"/>
        <v>1.0120851234893595</v>
      </c>
      <c r="G7" s="5">
        <v>40.018000000000001</v>
      </c>
      <c r="H7" s="5">
        <v>40.101999999999997</v>
      </c>
      <c r="I7" s="1">
        <v>0.90976119041442804</v>
      </c>
      <c r="J7" s="1">
        <v>2.57721614837646</v>
      </c>
      <c r="K7">
        <v>4</v>
      </c>
      <c r="L7">
        <v>2</v>
      </c>
    </row>
    <row r="8" spans="1:12" x14ac:dyDescent="0.35">
      <c r="A8">
        <v>5</v>
      </c>
      <c r="B8">
        <v>0.2</v>
      </c>
      <c r="C8" s="1">
        <v>39.576999999999998</v>
      </c>
      <c r="D8" s="1">
        <v>39.622999999999998</v>
      </c>
      <c r="E8" s="1">
        <v>40.932000000000002</v>
      </c>
      <c r="F8" s="2">
        <f t="shared" si="0"/>
        <v>1.0330363677661965</v>
      </c>
      <c r="G8" s="5">
        <v>40.404000000000003</v>
      </c>
      <c r="H8" s="5">
        <v>40.783999999999999</v>
      </c>
      <c r="I8" s="1">
        <v>0.162869453430175</v>
      </c>
      <c r="J8" s="1">
        <v>5.7657127380370996</v>
      </c>
      <c r="K8">
        <v>6</v>
      </c>
      <c r="L8">
        <v>5</v>
      </c>
    </row>
    <row r="9" spans="1:12" x14ac:dyDescent="0.35">
      <c r="B9">
        <v>0.5</v>
      </c>
      <c r="C9" s="1">
        <v>76.671000000000006</v>
      </c>
      <c r="D9" s="1">
        <v>77.882000000000005</v>
      </c>
      <c r="E9" s="1">
        <v>78.840999999999994</v>
      </c>
      <c r="F9" s="2">
        <f t="shared" si="0"/>
        <v>1.0123134999101202</v>
      </c>
      <c r="G9" s="5">
        <v>78.061000000000007</v>
      </c>
      <c r="H9" s="5">
        <v>78.763000000000005</v>
      </c>
      <c r="I9" s="1">
        <v>0.63452029228210405</v>
      </c>
      <c r="J9" s="1">
        <v>19.490741491317699</v>
      </c>
      <c r="K9">
        <v>9</v>
      </c>
      <c r="L9">
        <v>5</v>
      </c>
    </row>
    <row r="10" spans="1:12" x14ac:dyDescent="0.35">
      <c r="B10">
        <v>0.8</v>
      </c>
      <c r="C10" s="1">
        <v>106.87</v>
      </c>
      <c r="D10" s="1">
        <v>107.746</v>
      </c>
      <c r="E10" s="1">
        <v>108.667</v>
      </c>
      <c r="F10" s="2">
        <f t="shared" si="0"/>
        <v>1.0085478811278377</v>
      </c>
      <c r="G10" s="5">
        <v>108.34699999999999</v>
      </c>
      <c r="H10" s="5">
        <v>108.634</v>
      </c>
      <c r="I10" s="1">
        <v>3.9641795158386199</v>
      </c>
      <c r="J10" s="1">
        <v>24.914791345596299</v>
      </c>
      <c r="K10">
        <v>10</v>
      </c>
      <c r="L10">
        <v>3</v>
      </c>
    </row>
    <row r="11" spans="1:12" x14ac:dyDescent="0.35">
      <c r="A11">
        <v>8</v>
      </c>
      <c r="B11">
        <v>0.2</v>
      </c>
      <c r="C11" s="1">
        <v>87.668000000000006</v>
      </c>
      <c r="D11" s="1">
        <v>91.076999999999998</v>
      </c>
      <c r="E11" s="1">
        <v>92.617999999999995</v>
      </c>
      <c r="F11" s="2">
        <f t="shared" si="0"/>
        <v>1.0169197492231847</v>
      </c>
      <c r="G11" s="5">
        <v>91.614000000000004</v>
      </c>
      <c r="H11" s="5">
        <v>92.661000000000001</v>
      </c>
      <c r="I11" s="1">
        <v>0.38011908531188898</v>
      </c>
      <c r="J11" s="1">
        <v>253.37209296226499</v>
      </c>
      <c r="K11">
        <v>5</v>
      </c>
      <c r="L11">
        <v>4</v>
      </c>
    </row>
    <row r="12" spans="1:12" x14ac:dyDescent="0.35">
      <c r="B12">
        <v>0.5</v>
      </c>
      <c r="C12" s="1">
        <v>185.21600000000001</v>
      </c>
      <c r="D12" s="1">
        <v>187.535</v>
      </c>
      <c r="E12" s="1">
        <v>189.88499999999999</v>
      </c>
      <c r="F12" s="2">
        <f t="shared" si="0"/>
        <v>1.0125309942144132</v>
      </c>
      <c r="G12" s="5">
        <v>188.64</v>
      </c>
      <c r="H12" s="5">
        <v>189.929</v>
      </c>
      <c r="I12" s="1">
        <v>1.8003349304199201</v>
      </c>
      <c r="J12" s="1">
        <v>184.44754385948099</v>
      </c>
      <c r="K12">
        <v>13</v>
      </c>
      <c r="L12">
        <v>7</v>
      </c>
    </row>
    <row r="13" spans="1:12" x14ac:dyDescent="0.35">
      <c r="B13">
        <v>0.8</v>
      </c>
      <c r="C13" s="1">
        <v>267.63200000000001</v>
      </c>
      <c r="D13" s="1">
        <v>272.30900000000003</v>
      </c>
      <c r="E13" s="1">
        <v>273.10500000000002</v>
      </c>
      <c r="F13" s="2">
        <f t="shared" si="0"/>
        <v>1.0029231498040829</v>
      </c>
      <c r="G13" s="5">
        <v>272.81900000000002</v>
      </c>
      <c r="H13" s="5">
        <v>273.18700000000001</v>
      </c>
      <c r="I13" s="1">
        <v>4.4817023277282697</v>
      </c>
      <c r="J13" s="1">
        <v>302.53515434265103</v>
      </c>
      <c r="K13">
        <v>6</v>
      </c>
      <c r="L13">
        <v>4</v>
      </c>
    </row>
    <row r="14" spans="1:12" x14ac:dyDescent="0.35">
      <c r="A14">
        <v>10</v>
      </c>
      <c r="B14">
        <v>0.2</v>
      </c>
      <c r="C14" s="1">
        <v>132.48599999999999</v>
      </c>
      <c r="D14" s="1">
        <v>135.351</v>
      </c>
      <c r="E14" s="1">
        <v>136.90600000000001</v>
      </c>
      <c r="F14" s="2">
        <f t="shared" si="0"/>
        <v>1.0114886480336311</v>
      </c>
      <c r="G14" s="5">
        <v>135.953</v>
      </c>
      <c r="H14" s="5">
        <v>137.01388623837099</v>
      </c>
      <c r="I14" s="1">
        <v>0.14855003356933499</v>
      </c>
      <c r="J14" s="1">
        <v>300.56219840049698</v>
      </c>
      <c r="K14">
        <v>10</v>
      </c>
      <c r="L14">
        <v>3</v>
      </c>
    </row>
    <row r="15" spans="1:12" x14ac:dyDescent="0.35">
      <c r="B15">
        <v>0.5</v>
      </c>
      <c r="C15" s="1">
        <v>281.03899999999999</v>
      </c>
      <c r="D15" s="1">
        <v>286.83699999999999</v>
      </c>
      <c r="E15" s="1">
        <v>289.04300000000001</v>
      </c>
      <c r="F15" s="2">
        <f t="shared" si="0"/>
        <v>1.0076907790835912</v>
      </c>
      <c r="G15" s="5">
        <v>287.55799999999999</v>
      </c>
      <c r="H15" s="5">
        <v>289.37799999999999</v>
      </c>
      <c r="I15" s="1">
        <v>0.69704580307006803</v>
      </c>
      <c r="J15" s="1">
        <v>301.95237731933503</v>
      </c>
      <c r="K15">
        <v>7</v>
      </c>
      <c r="L15">
        <v>4</v>
      </c>
    </row>
    <row r="16" spans="1:12" x14ac:dyDescent="0.35">
      <c r="B16">
        <v>0.8</v>
      </c>
      <c r="C16" s="1">
        <v>423.16300000000001</v>
      </c>
      <c r="D16" s="1">
        <v>426.10300000000001</v>
      </c>
      <c r="E16" s="1">
        <v>427.755</v>
      </c>
      <c r="F16" s="2">
        <f t="shared" si="0"/>
        <v>1.0038769968763421</v>
      </c>
      <c r="G16" s="5">
        <v>426.87700000000001</v>
      </c>
      <c r="H16" s="5">
        <v>428.25200000000001</v>
      </c>
      <c r="I16" s="1">
        <v>5.5739727020263601</v>
      </c>
      <c r="J16" s="1">
        <v>302.87595891952498</v>
      </c>
      <c r="K16">
        <v>9</v>
      </c>
      <c r="L16">
        <v>4</v>
      </c>
    </row>
    <row r="17" spans="1:12" x14ac:dyDescent="0.35">
      <c r="A17">
        <v>15</v>
      </c>
      <c r="B17">
        <v>0.2</v>
      </c>
      <c r="C17" s="1">
        <v>279.21899999999999</v>
      </c>
      <c r="D17" s="1">
        <v>285.78899999999999</v>
      </c>
      <c r="E17" s="1">
        <v>289.51499999999999</v>
      </c>
      <c r="F17" s="2">
        <f t="shared" si="0"/>
        <v>1.0130375906700397</v>
      </c>
      <c r="G17" s="5">
        <v>287.03899999999999</v>
      </c>
      <c r="H17" s="5">
        <v>290.54375470185602</v>
      </c>
      <c r="I17" s="1">
        <v>0.60649061203002896</v>
      </c>
      <c r="J17" s="1">
        <v>302.50697016715998</v>
      </c>
      <c r="K17">
        <v>7</v>
      </c>
      <c r="L17">
        <v>7</v>
      </c>
    </row>
    <row r="18" spans="1:12" x14ac:dyDescent="0.35">
      <c r="B18">
        <v>0.5</v>
      </c>
      <c r="C18" s="1">
        <v>627.07899999999995</v>
      </c>
      <c r="D18" s="1">
        <v>641.25599999999997</v>
      </c>
      <c r="E18" s="1">
        <v>643.995</v>
      </c>
      <c r="F18" s="2">
        <f t="shared" si="0"/>
        <v>1.0042713050638123</v>
      </c>
      <c r="G18" s="5">
        <v>642.66300000000001</v>
      </c>
      <c r="H18" s="5">
        <v>645.36749544664201</v>
      </c>
      <c r="I18" s="1">
        <v>1.1108021736145</v>
      </c>
      <c r="J18" s="1">
        <v>302.07322549819901</v>
      </c>
      <c r="K18">
        <v>9</v>
      </c>
      <c r="L18">
        <v>6</v>
      </c>
    </row>
    <row r="19" spans="1:12" x14ac:dyDescent="0.35">
      <c r="B19">
        <v>0.8</v>
      </c>
      <c r="C19" s="1">
        <v>954.66600000000005</v>
      </c>
      <c r="D19" s="1">
        <v>963.79499999999996</v>
      </c>
      <c r="E19" s="1">
        <v>965.17499999999995</v>
      </c>
      <c r="F19" s="2">
        <f t="shared" si="0"/>
        <v>1.001431839758455</v>
      </c>
      <c r="G19" s="5">
        <v>963.79499999999996</v>
      </c>
      <c r="H19" s="5">
        <v>966.52184702957095</v>
      </c>
      <c r="I19" s="1">
        <v>6.5942137241363499</v>
      </c>
      <c r="J19" s="1">
        <v>303.08020210266102</v>
      </c>
      <c r="K19">
        <v>9</v>
      </c>
      <c r="L19">
        <v>3</v>
      </c>
    </row>
    <row r="20" spans="1:12" x14ac:dyDescent="0.35">
      <c r="A20">
        <v>20</v>
      </c>
      <c r="B20">
        <v>0.2</v>
      </c>
      <c r="C20" s="1">
        <v>479.87799999999999</v>
      </c>
      <c r="D20" s="1">
        <v>486.64800000000002</v>
      </c>
      <c r="E20" s="1">
        <v>491.15199999999999</v>
      </c>
      <c r="F20" s="2">
        <f t="shared" si="0"/>
        <v>1.0092551495125839</v>
      </c>
      <c r="G20" s="5">
        <v>488.66</v>
      </c>
      <c r="H20" s="5">
        <v>493.07384637316397</v>
      </c>
      <c r="I20" s="1">
        <v>0.68516993522643999</v>
      </c>
      <c r="J20" s="1">
        <v>301.87895441055298</v>
      </c>
      <c r="K20">
        <v>10</v>
      </c>
      <c r="L20">
        <v>4</v>
      </c>
    </row>
    <row r="21" spans="1:12" x14ac:dyDescent="0.35">
      <c r="B21">
        <v>0.5</v>
      </c>
      <c r="C21" s="1">
        <v>1108.2239999999999</v>
      </c>
      <c r="D21" s="1">
        <v>1121.6010000000001</v>
      </c>
      <c r="E21" s="1">
        <v>1125.5340000000001</v>
      </c>
      <c r="F21" s="2">
        <f t="shared" si="0"/>
        <v>1.0035065945911246</v>
      </c>
      <c r="G21" s="5">
        <v>1123.8320000000001</v>
      </c>
      <c r="H21" s="5">
        <v>1129.01396216944</v>
      </c>
      <c r="I21" s="1">
        <v>0.97390007972717196</v>
      </c>
      <c r="J21" s="1">
        <v>302.02662062644902</v>
      </c>
      <c r="K21">
        <v>9</v>
      </c>
      <c r="L21">
        <v>4</v>
      </c>
    </row>
    <row r="22" spans="1:12" x14ac:dyDescent="0.35">
      <c r="B22">
        <v>0.8</v>
      </c>
      <c r="C22" s="1">
        <v>1661.335</v>
      </c>
      <c r="D22" s="1">
        <v>1671.9469999999999</v>
      </c>
      <c r="E22" s="1">
        <v>1672.9480000000001</v>
      </c>
      <c r="F22" s="2">
        <f t="shared" si="0"/>
        <v>1.0005987031885581</v>
      </c>
      <c r="G22" s="5">
        <v>1670.692</v>
      </c>
      <c r="H22" s="5">
        <v>1677.26125197785</v>
      </c>
      <c r="I22" s="1">
        <v>8.3644850254058802</v>
      </c>
      <c r="J22" s="1">
        <v>302.74483132362298</v>
      </c>
      <c r="K22">
        <v>11</v>
      </c>
      <c r="L22">
        <v>2</v>
      </c>
    </row>
    <row r="23" spans="1:12" x14ac:dyDescent="0.35">
      <c r="A23">
        <v>25</v>
      </c>
      <c r="B23">
        <v>0.2</v>
      </c>
      <c r="C23" s="1">
        <v>753.45299999999997</v>
      </c>
      <c r="D23" s="1">
        <v>759.82</v>
      </c>
      <c r="E23" s="1">
        <v>763.49400000000003</v>
      </c>
      <c r="F23" s="2">
        <f t="shared" si="0"/>
        <v>1.0048353557421494</v>
      </c>
      <c r="G23" s="5">
        <v>761.40599999999995</v>
      </c>
      <c r="H23" s="5">
        <v>767.49925252659591</v>
      </c>
      <c r="I23" s="1">
        <v>0.89844822883605902</v>
      </c>
      <c r="J23" s="1">
        <v>303.35298037528901</v>
      </c>
      <c r="K23">
        <v>9</v>
      </c>
      <c r="L23">
        <v>4</v>
      </c>
    </row>
    <row r="24" spans="1:12" x14ac:dyDescent="0.35">
      <c r="B24">
        <v>0.5</v>
      </c>
      <c r="C24" s="1">
        <v>1695.954</v>
      </c>
      <c r="D24" s="1">
        <v>1717.69</v>
      </c>
      <c r="E24" s="1">
        <v>1723.7159999999999</v>
      </c>
      <c r="F24" s="2">
        <f t="shared" si="0"/>
        <v>1.0035081999662336</v>
      </c>
      <c r="G24" s="5">
        <v>1719.924</v>
      </c>
      <c r="H24" s="5">
        <v>1728.56596417842</v>
      </c>
      <c r="I24" s="1">
        <v>3.9557003974914502</v>
      </c>
      <c r="J24" s="1">
        <v>304.215553760528</v>
      </c>
      <c r="K24">
        <v>20</v>
      </c>
      <c r="L24">
        <v>8</v>
      </c>
    </row>
    <row r="25" spans="1:12" x14ac:dyDescent="0.35">
      <c r="B25">
        <v>0.8</v>
      </c>
      <c r="C25" s="1">
        <v>2586.77</v>
      </c>
      <c r="D25" s="1">
        <v>2608.5419999999999</v>
      </c>
      <c r="E25" s="1">
        <v>2614.3139999999999</v>
      </c>
      <c r="F25" s="2">
        <f t="shared" si="0"/>
        <v>1.0022127303298165</v>
      </c>
      <c r="G25" s="5">
        <v>2609.9870000000001</v>
      </c>
      <c r="H25" s="5">
        <v>2622.8852125066901</v>
      </c>
      <c r="I25" s="1">
        <v>12.0878736972808</v>
      </c>
      <c r="J25" s="1">
        <v>306.539255142211</v>
      </c>
      <c r="K25">
        <v>13</v>
      </c>
      <c r="L25">
        <v>5</v>
      </c>
    </row>
    <row r="26" spans="1:12" x14ac:dyDescent="0.35">
      <c r="A26">
        <v>30</v>
      </c>
      <c r="B26">
        <v>0.2</v>
      </c>
      <c r="C26" s="1">
        <v>1055.24</v>
      </c>
      <c r="D26" s="1">
        <v>1085.2670000000001</v>
      </c>
      <c r="E26" s="1">
        <v>1088.8119999999999</v>
      </c>
      <c r="F26" s="2">
        <f t="shared" si="0"/>
        <v>1.0032664772816273</v>
      </c>
      <c r="G26" s="5">
        <v>1085.194</v>
      </c>
      <c r="H26" s="5">
        <v>1094.6514214470801</v>
      </c>
      <c r="I26" s="1">
        <v>2.3138542175292902</v>
      </c>
      <c r="J26" s="1">
        <v>305.82276844978298</v>
      </c>
      <c r="K26">
        <v>12</v>
      </c>
      <c r="L26">
        <v>14</v>
      </c>
    </row>
    <row r="27" spans="1:12" x14ac:dyDescent="0.35">
      <c r="B27">
        <v>0.5</v>
      </c>
      <c r="C27" s="1">
        <v>2409.3229999999999</v>
      </c>
      <c r="D27" s="1">
        <v>2460.41</v>
      </c>
      <c r="E27" s="1">
        <v>2465.8470000000002</v>
      </c>
      <c r="F27" s="2">
        <f t="shared" si="0"/>
        <v>1.0022097943025758</v>
      </c>
      <c r="G27" s="5">
        <v>2460.3000000000002</v>
      </c>
      <c r="H27" s="5">
        <v>2473.28612071823</v>
      </c>
      <c r="I27" s="1">
        <v>3.7670805454254102</v>
      </c>
      <c r="J27" s="1">
        <v>305.064269304275</v>
      </c>
      <c r="K27">
        <v>13</v>
      </c>
      <c r="L27">
        <v>5</v>
      </c>
    </row>
    <row r="28" spans="1:12" x14ac:dyDescent="0.35">
      <c r="B28">
        <v>0.8</v>
      </c>
      <c r="C28" s="1">
        <v>3729.8150000000001</v>
      </c>
      <c r="D28" s="1">
        <v>3745.029</v>
      </c>
      <c r="E28" s="1">
        <v>3750.7849999999999</v>
      </c>
      <c r="F28" s="2">
        <f t="shared" si="0"/>
        <v>1.0015369707417485</v>
      </c>
      <c r="G28" s="5">
        <v>3749.0250000000001</v>
      </c>
      <c r="H28" s="5">
        <v>3763.9607173485001</v>
      </c>
      <c r="I28" s="1">
        <v>16.977599382400498</v>
      </c>
      <c r="J28" s="1">
        <v>310.24513626098599</v>
      </c>
      <c r="K28">
        <v>11</v>
      </c>
      <c r="L28">
        <v>6</v>
      </c>
    </row>
    <row r="29" spans="1:12" x14ac:dyDescent="0.35">
      <c r="C29" s="1">
        <f>AVERAGE(C2:C28)</f>
        <v>706.08748148148152</v>
      </c>
      <c r="D29" s="1">
        <f t="shared" ref="D29:L29" si="1">AVERAGE(D2:D28)</f>
        <v>714.72014814814816</v>
      </c>
      <c r="E29" s="1">
        <f t="shared" si="1"/>
        <v>717.05322222222219</v>
      </c>
      <c r="F29" s="2">
        <f t="shared" si="1"/>
        <v>1.0100120168253806</v>
      </c>
      <c r="G29" s="1">
        <f t="shared" si="1"/>
        <v>715.51070370370371</v>
      </c>
      <c r="H29" s="1">
        <f t="shared" si="1"/>
        <v>719.16680491342254</v>
      </c>
      <c r="I29" s="1">
        <f t="shared" si="1"/>
        <v>2.8745797298572628</v>
      </c>
      <c r="J29" s="1">
        <f t="shared" si="1"/>
        <v>198.21761971049807</v>
      </c>
      <c r="K29" s="1">
        <f t="shared" si="1"/>
        <v>8.5555555555555554</v>
      </c>
      <c r="L29" s="1">
        <f t="shared" si="1"/>
        <v>4.5925925925925926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9639-B99A-4CD6-BF64-2566048B8572}">
  <dimension ref="A1:AE28"/>
  <sheetViews>
    <sheetView workbookViewId="0">
      <selection activeCell="Z1" sqref="Z1:AE1"/>
    </sheetView>
  </sheetViews>
  <sheetFormatPr defaultRowHeight="14.5" x14ac:dyDescent="0.35"/>
  <sheetData>
    <row r="1" spans="1:3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5">
      <c r="A2" t="s">
        <v>30</v>
      </c>
      <c r="B2" t="s">
        <v>38</v>
      </c>
      <c r="C2">
        <v>2</v>
      </c>
      <c r="D2">
        <v>100</v>
      </c>
      <c r="E2">
        <v>2</v>
      </c>
      <c r="F2" t="s">
        <v>32</v>
      </c>
      <c r="G2">
        <v>8081</v>
      </c>
      <c r="H2">
        <v>8156</v>
      </c>
      <c r="I2">
        <v>7846</v>
      </c>
      <c r="J2">
        <v>8156</v>
      </c>
      <c r="K2">
        <v>8303</v>
      </c>
      <c r="L2">
        <v>8156</v>
      </c>
      <c r="M2">
        <v>8156</v>
      </c>
      <c r="N2">
        <v>10.5888156890869</v>
      </c>
      <c r="O2">
        <v>12.9732072353363</v>
      </c>
      <c r="P2">
        <v>9.2690944671630804E-2</v>
      </c>
      <c r="Q2">
        <v>4.4445321559905997</v>
      </c>
      <c r="R2">
        <v>1976</v>
      </c>
      <c r="S2">
        <v>1918</v>
      </c>
      <c r="T2">
        <v>1888</v>
      </c>
      <c r="U2">
        <v>30</v>
      </c>
      <c r="V2">
        <v>2</v>
      </c>
      <c r="W2">
        <v>11</v>
      </c>
      <c r="X2">
        <v>2</v>
      </c>
      <c r="Y2">
        <v>2</v>
      </c>
      <c r="Z2">
        <v>8026</v>
      </c>
      <c r="AA2">
        <v>8156</v>
      </c>
      <c r="AB2">
        <v>3.0277490615844699E-2</v>
      </c>
      <c r="AC2">
        <v>9.75189208984375E-2</v>
      </c>
      <c r="AD2">
        <v>3</v>
      </c>
      <c r="AE2">
        <v>2</v>
      </c>
    </row>
    <row r="3" spans="1:31" x14ac:dyDescent="0.35">
      <c r="A3" t="s">
        <v>30</v>
      </c>
      <c r="B3" t="s">
        <v>39</v>
      </c>
      <c r="C3">
        <v>2</v>
      </c>
      <c r="D3">
        <v>100</v>
      </c>
      <c r="E3">
        <v>5</v>
      </c>
      <c r="F3" t="s">
        <v>32</v>
      </c>
      <c r="G3">
        <v>14221</v>
      </c>
      <c r="H3">
        <v>14246</v>
      </c>
      <c r="I3">
        <v>14042</v>
      </c>
      <c r="J3">
        <v>14246</v>
      </c>
      <c r="K3">
        <v>14390</v>
      </c>
      <c r="L3">
        <v>14247</v>
      </c>
      <c r="M3">
        <v>14246</v>
      </c>
      <c r="N3">
        <v>67.380537271499605</v>
      </c>
      <c r="O3">
        <v>124.563162565231</v>
      </c>
      <c r="P3">
        <v>0.185768127441406</v>
      </c>
      <c r="Q3">
        <v>57.6508755683898</v>
      </c>
      <c r="R3">
        <v>2281</v>
      </c>
      <c r="S3">
        <v>2131</v>
      </c>
      <c r="T3">
        <v>1787</v>
      </c>
      <c r="U3">
        <v>344</v>
      </c>
      <c r="V3">
        <v>4</v>
      </c>
      <c r="W3">
        <v>116</v>
      </c>
      <c r="X3">
        <v>2</v>
      </c>
      <c r="Y3">
        <v>2</v>
      </c>
      <c r="Z3">
        <v>14112</v>
      </c>
      <c r="AA3">
        <v>14158</v>
      </c>
      <c r="AB3">
        <v>0.16027045249938901</v>
      </c>
      <c r="AC3">
        <v>0.26410937309265098</v>
      </c>
      <c r="AD3">
        <v>3</v>
      </c>
      <c r="AE3">
        <v>3</v>
      </c>
    </row>
    <row r="4" spans="1:31" x14ac:dyDescent="0.35">
      <c r="A4" t="s">
        <v>30</v>
      </c>
      <c r="B4" t="s">
        <v>40</v>
      </c>
      <c r="C4">
        <v>2</v>
      </c>
      <c r="D4">
        <v>100</v>
      </c>
      <c r="E4">
        <v>8</v>
      </c>
      <c r="F4" t="s">
        <v>32</v>
      </c>
      <c r="G4">
        <v>19054</v>
      </c>
      <c r="H4">
        <v>19054</v>
      </c>
      <c r="I4">
        <v>18855</v>
      </c>
      <c r="J4">
        <v>19054</v>
      </c>
      <c r="K4">
        <v>19084</v>
      </c>
      <c r="L4">
        <v>19054</v>
      </c>
      <c r="M4">
        <v>19055</v>
      </c>
      <c r="N4">
        <v>1.1444187164306601</v>
      </c>
      <c r="O4">
        <v>1.33159899711608</v>
      </c>
      <c r="P4">
        <v>0.34717798233032199</v>
      </c>
      <c r="Q4">
        <v>2.2793893814086901</v>
      </c>
      <c r="R4">
        <v>1224</v>
      </c>
      <c r="S4">
        <v>1239</v>
      </c>
      <c r="T4">
        <v>1217</v>
      </c>
      <c r="U4">
        <v>22</v>
      </c>
      <c r="V4">
        <v>1</v>
      </c>
      <c r="W4">
        <v>9</v>
      </c>
      <c r="X4">
        <v>2</v>
      </c>
      <c r="Y4">
        <v>2</v>
      </c>
      <c r="Z4">
        <v>18844</v>
      </c>
      <c r="AA4">
        <v>18991</v>
      </c>
      <c r="AB4">
        <v>0.16802954673767001</v>
      </c>
      <c r="AC4">
        <v>0.29820585250854398</v>
      </c>
      <c r="AD4">
        <v>3</v>
      </c>
      <c r="AE4">
        <v>3</v>
      </c>
    </row>
    <row r="5" spans="1:31" x14ac:dyDescent="0.35">
      <c r="A5" t="s">
        <v>30</v>
      </c>
      <c r="B5" t="s">
        <v>47</v>
      </c>
      <c r="C5">
        <v>3</v>
      </c>
      <c r="D5">
        <v>100</v>
      </c>
      <c r="E5">
        <v>2</v>
      </c>
      <c r="F5" t="s">
        <v>32</v>
      </c>
      <c r="G5">
        <v>15524</v>
      </c>
      <c r="H5">
        <v>15561</v>
      </c>
      <c r="I5">
        <v>15027</v>
      </c>
      <c r="J5">
        <v>15583</v>
      </c>
      <c r="K5">
        <v>15946</v>
      </c>
      <c r="L5">
        <v>15671</v>
      </c>
      <c r="M5">
        <v>15583</v>
      </c>
      <c r="N5">
        <v>630.16116666793801</v>
      </c>
      <c r="O5">
        <v>1800.1323361396701</v>
      </c>
      <c r="P5">
        <v>0.119795322418212</v>
      </c>
      <c r="Q5">
        <v>1645.7333676815001</v>
      </c>
      <c r="R5">
        <v>2436</v>
      </c>
      <c r="S5">
        <v>2339</v>
      </c>
      <c r="T5">
        <v>1430</v>
      </c>
      <c r="U5">
        <v>909</v>
      </c>
      <c r="V5">
        <v>3</v>
      </c>
      <c r="W5">
        <v>217</v>
      </c>
      <c r="X5">
        <v>9</v>
      </c>
      <c r="Y5">
        <v>2</v>
      </c>
      <c r="Z5">
        <v>14830</v>
      </c>
      <c r="AA5">
        <v>15411</v>
      </c>
      <c r="AB5">
        <v>4.5006990432739202E-2</v>
      </c>
      <c r="AC5">
        <v>0.33656573295593201</v>
      </c>
      <c r="AD5">
        <v>5</v>
      </c>
      <c r="AE5">
        <v>3</v>
      </c>
    </row>
    <row r="6" spans="1:31" x14ac:dyDescent="0.35">
      <c r="A6" t="s">
        <v>30</v>
      </c>
      <c r="B6" t="s">
        <v>48</v>
      </c>
      <c r="C6">
        <v>3</v>
      </c>
      <c r="D6">
        <v>100</v>
      </c>
      <c r="E6">
        <v>5</v>
      </c>
      <c r="F6" t="s">
        <v>32</v>
      </c>
      <c r="H6">
        <v>0</v>
      </c>
      <c r="I6">
        <v>28280</v>
      </c>
      <c r="J6">
        <v>28942</v>
      </c>
      <c r="K6">
        <v>29393</v>
      </c>
      <c r="L6">
        <v>29161</v>
      </c>
      <c r="M6">
        <v>29129</v>
      </c>
      <c r="O6">
        <v>1800.18692541122</v>
      </c>
      <c r="P6">
        <v>0.19045281410217199</v>
      </c>
      <c r="Q6">
        <v>1800.32271790504</v>
      </c>
      <c r="R6">
        <v>2817</v>
      </c>
      <c r="S6">
        <v>2610</v>
      </c>
      <c r="T6">
        <v>1614</v>
      </c>
      <c r="U6">
        <v>996</v>
      </c>
      <c r="V6">
        <v>0</v>
      </c>
      <c r="W6">
        <v>282</v>
      </c>
      <c r="X6">
        <v>9</v>
      </c>
      <c r="Y6">
        <v>9</v>
      </c>
      <c r="Z6">
        <v>28283</v>
      </c>
      <c r="AA6">
        <v>28670</v>
      </c>
      <c r="AB6">
        <v>0.121394872665405</v>
      </c>
      <c r="AC6">
        <v>2.83477735519409</v>
      </c>
      <c r="AD6">
        <v>5</v>
      </c>
      <c r="AE6">
        <v>4</v>
      </c>
    </row>
    <row r="7" spans="1:31" x14ac:dyDescent="0.35">
      <c r="A7" t="s">
        <v>30</v>
      </c>
      <c r="B7" t="s">
        <v>49</v>
      </c>
      <c r="C7">
        <v>3</v>
      </c>
      <c r="D7">
        <v>100</v>
      </c>
      <c r="E7">
        <v>8</v>
      </c>
      <c r="F7" t="s">
        <v>32</v>
      </c>
      <c r="G7">
        <v>39943</v>
      </c>
      <c r="H7">
        <v>40018</v>
      </c>
      <c r="I7">
        <v>39758</v>
      </c>
      <c r="J7">
        <v>40018</v>
      </c>
      <c r="K7">
        <v>40282</v>
      </c>
      <c r="L7">
        <v>40097</v>
      </c>
      <c r="M7">
        <v>40102</v>
      </c>
      <c r="N7">
        <v>383.22914838790803</v>
      </c>
      <c r="O7">
        <v>1800.32602620124</v>
      </c>
      <c r="P7">
        <v>0.83370304107666005</v>
      </c>
      <c r="Q7">
        <v>1800.2696557044901</v>
      </c>
      <c r="R7">
        <v>2297</v>
      </c>
      <c r="S7">
        <v>2658</v>
      </c>
      <c r="T7">
        <v>1420</v>
      </c>
      <c r="U7">
        <v>1238</v>
      </c>
      <c r="V7">
        <v>2</v>
      </c>
      <c r="W7">
        <v>347</v>
      </c>
      <c r="X7">
        <v>9</v>
      </c>
      <c r="Y7">
        <v>9</v>
      </c>
      <c r="Z7">
        <v>38989</v>
      </c>
      <c r="AA7">
        <v>39801</v>
      </c>
      <c r="AB7">
        <v>0.90976119041442804</v>
      </c>
      <c r="AC7">
        <v>2.57721614837646</v>
      </c>
      <c r="AD7">
        <v>4</v>
      </c>
      <c r="AE7">
        <v>2</v>
      </c>
    </row>
    <row r="8" spans="1:31" x14ac:dyDescent="0.35">
      <c r="A8" t="s">
        <v>30</v>
      </c>
      <c r="B8" t="s">
        <v>53</v>
      </c>
      <c r="C8">
        <v>5</v>
      </c>
      <c r="D8">
        <v>100</v>
      </c>
      <c r="E8">
        <v>2</v>
      </c>
      <c r="F8" t="s">
        <v>32</v>
      </c>
      <c r="H8">
        <v>0</v>
      </c>
      <c r="I8">
        <v>39732</v>
      </c>
      <c r="J8">
        <v>40404</v>
      </c>
      <c r="K8">
        <v>40932</v>
      </c>
      <c r="L8">
        <v>40843</v>
      </c>
      <c r="M8">
        <v>40784</v>
      </c>
      <c r="O8">
        <v>1800.6469836235001</v>
      </c>
      <c r="P8">
        <v>0.35418033599853499</v>
      </c>
      <c r="Q8">
        <v>1800.28637599945</v>
      </c>
      <c r="R8">
        <v>694</v>
      </c>
      <c r="S8">
        <v>935</v>
      </c>
      <c r="T8">
        <v>455</v>
      </c>
      <c r="U8">
        <v>480</v>
      </c>
      <c r="V8">
        <v>0</v>
      </c>
      <c r="W8">
        <v>94</v>
      </c>
      <c r="X8">
        <v>9</v>
      </c>
      <c r="Y8">
        <v>9</v>
      </c>
      <c r="Z8">
        <v>39577</v>
      </c>
      <c r="AA8">
        <v>39623</v>
      </c>
      <c r="AB8">
        <v>0.162869453430175</v>
      </c>
      <c r="AC8">
        <v>5.7657127380370996</v>
      </c>
      <c r="AD8">
        <v>6</v>
      </c>
      <c r="AE8">
        <v>5</v>
      </c>
    </row>
    <row r="9" spans="1:31" x14ac:dyDescent="0.35">
      <c r="A9" t="s">
        <v>30</v>
      </c>
      <c r="B9" t="s">
        <v>54</v>
      </c>
      <c r="C9">
        <v>5</v>
      </c>
      <c r="D9">
        <v>100</v>
      </c>
      <c r="E9">
        <v>5</v>
      </c>
      <c r="F9" t="s">
        <v>32</v>
      </c>
      <c r="H9">
        <v>0</v>
      </c>
      <c r="I9">
        <v>75984</v>
      </c>
      <c r="J9">
        <v>78061</v>
      </c>
      <c r="K9">
        <v>78841</v>
      </c>
      <c r="L9">
        <v>78797</v>
      </c>
      <c r="M9">
        <v>78763</v>
      </c>
      <c r="O9">
        <v>1800.31069278717</v>
      </c>
      <c r="P9">
        <v>0.77392792701721103</v>
      </c>
      <c r="Q9">
        <v>1800.44499254226</v>
      </c>
      <c r="R9">
        <v>1373</v>
      </c>
      <c r="S9">
        <v>1556</v>
      </c>
      <c r="T9">
        <v>766</v>
      </c>
      <c r="U9">
        <v>790</v>
      </c>
      <c r="V9">
        <v>0</v>
      </c>
      <c r="W9">
        <v>158</v>
      </c>
      <c r="X9">
        <v>9</v>
      </c>
      <c r="Y9">
        <v>9</v>
      </c>
      <c r="Z9">
        <v>76671</v>
      </c>
      <c r="AA9">
        <v>77882</v>
      </c>
      <c r="AB9">
        <v>0.63452029228210405</v>
      </c>
      <c r="AC9">
        <v>19.490741491317699</v>
      </c>
      <c r="AD9">
        <v>9</v>
      </c>
      <c r="AE9">
        <v>5</v>
      </c>
    </row>
    <row r="10" spans="1:31" x14ac:dyDescent="0.35">
      <c r="A10" t="s">
        <v>30</v>
      </c>
      <c r="B10" t="s">
        <v>55</v>
      </c>
      <c r="C10">
        <v>5</v>
      </c>
      <c r="D10">
        <v>100</v>
      </c>
      <c r="E10">
        <v>8</v>
      </c>
      <c r="F10" t="s">
        <v>32</v>
      </c>
      <c r="H10">
        <v>0</v>
      </c>
      <c r="I10">
        <v>106517</v>
      </c>
      <c r="J10">
        <v>108347</v>
      </c>
      <c r="K10">
        <v>108667</v>
      </c>
      <c r="L10">
        <v>108673</v>
      </c>
      <c r="M10">
        <v>108634</v>
      </c>
      <c r="O10">
        <v>1800.3984084129299</v>
      </c>
      <c r="P10">
        <v>3.52384305000305</v>
      </c>
      <c r="Q10">
        <v>1800.1509046554499</v>
      </c>
      <c r="R10">
        <v>1840</v>
      </c>
      <c r="S10">
        <v>837</v>
      </c>
      <c r="T10">
        <v>372</v>
      </c>
      <c r="U10">
        <v>465</v>
      </c>
      <c r="V10">
        <v>0</v>
      </c>
      <c r="W10">
        <v>91</v>
      </c>
      <c r="X10">
        <v>9</v>
      </c>
      <c r="Y10">
        <v>9</v>
      </c>
      <c r="Z10">
        <v>106870</v>
      </c>
      <c r="AA10">
        <v>107746</v>
      </c>
      <c r="AB10">
        <v>3.9641795158386199</v>
      </c>
      <c r="AC10">
        <v>24.914791345596299</v>
      </c>
      <c r="AD10">
        <v>10</v>
      </c>
      <c r="AE10">
        <v>3</v>
      </c>
    </row>
    <row r="11" spans="1:31" x14ac:dyDescent="0.35">
      <c r="A11" t="s">
        <v>30</v>
      </c>
      <c r="B11" t="s">
        <v>56</v>
      </c>
      <c r="C11">
        <v>8</v>
      </c>
      <c r="D11">
        <v>100</v>
      </c>
      <c r="E11">
        <v>2</v>
      </c>
      <c r="F11" t="s">
        <v>32</v>
      </c>
      <c r="H11">
        <v>0</v>
      </c>
      <c r="I11">
        <v>90240</v>
      </c>
      <c r="J11">
        <v>91614</v>
      </c>
      <c r="K11">
        <v>92618</v>
      </c>
      <c r="L11">
        <v>92729.998396758194</v>
      </c>
      <c r="M11">
        <v>92661</v>
      </c>
      <c r="O11">
        <v>1800.91361308097</v>
      </c>
      <c r="P11">
        <v>0.88244152069091797</v>
      </c>
      <c r="Q11">
        <v>1800.56633710861</v>
      </c>
      <c r="R11">
        <v>837</v>
      </c>
      <c r="S11">
        <v>957</v>
      </c>
      <c r="T11">
        <v>452</v>
      </c>
      <c r="U11">
        <v>505</v>
      </c>
      <c r="V11">
        <v>0</v>
      </c>
      <c r="W11">
        <v>65</v>
      </c>
      <c r="X11">
        <v>9</v>
      </c>
      <c r="Y11">
        <v>9</v>
      </c>
      <c r="Z11">
        <v>87668</v>
      </c>
      <c r="AA11">
        <v>91077</v>
      </c>
      <c r="AB11">
        <v>0.38011908531188898</v>
      </c>
      <c r="AC11">
        <v>253.37209296226499</v>
      </c>
      <c r="AD11">
        <v>5</v>
      </c>
      <c r="AE11">
        <v>4</v>
      </c>
    </row>
    <row r="12" spans="1:31" x14ac:dyDescent="0.35">
      <c r="A12" t="s">
        <v>30</v>
      </c>
      <c r="B12" t="s">
        <v>57</v>
      </c>
      <c r="C12">
        <v>8</v>
      </c>
      <c r="D12">
        <v>100</v>
      </c>
      <c r="E12">
        <v>5</v>
      </c>
      <c r="F12" t="s">
        <v>32</v>
      </c>
      <c r="H12">
        <v>0</v>
      </c>
      <c r="I12">
        <v>185084</v>
      </c>
      <c r="J12">
        <v>188640</v>
      </c>
      <c r="K12">
        <v>189885</v>
      </c>
      <c r="L12">
        <v>190002</v>
      </c>
      <c r="M12">
        <v>189929</v>
      </c>
      <c r="O12">
        <v>1800.9560959339101</v>
      </c>
      <c r="P12">
        <v>1.71654200553894</v>
      </c>
      <c r="Q12">
        <v>1801.0773682594299</v>
      </c>
      <c r="R12">
        <v>936</v>
      </c>
      <c r="S12">
        <v>1160</v>
      </c>
      <c r="T12">
        <v>516</v>
      </c>
      <c r="U12">
        <v>644</v>
      </c>
      <c r="V12">
        <v>0</v>
      </c>
      <c r="W12">
        <v>81</v>
      </c>
      <c r="X12">
        <v>9</v>
      </c>
      <c r="Y12">
        <v>9</v>
      </c>
      <c r="Z12">
        <v>185216</v>
      </c>
      <c r="AA12">
        <v>187535</v>
      </c>
      <c r="AB12">
        <v>1.8003349304199201</v>
      </c>
      <c r="AC12">
        <v>184.44754385948099</v>
      </c>
      <c r="AD12">
        <v>13</v>
      </c>
      <c r="AE12">
        <v>7</v>
      </c>
    </row>
    <row r="13" spans="1:31" x14ac:dyDescent="0.35">
      <c r="A13" t="s">
        <v>30</v>
      </c>
      <c r="B13" t="s">
        <v>58</v>
      </c>
      <c r="C13">
        <v>8</v>
      </c>
      <c r="D13">
        <v>100</v>
      </c>
      <c r="E13">
        <v>8</v>
      </c>
      <c r="F13" t="s">
        <v>32</v>
      </c>
      <c r="H13">
        <v>0</v>
      </c>
      <c r="I13">
        <v>267992</v>
      </c>
      <c r="J13">
        <v>272819</v>
      </c>
      <c r="K13">
        <v>273105</v>
      </c>
      <c r="L13">
        <v>273389</v>
      </c>
      <c r="M13">
        <v>273187</v>
      </c>
      <c r="O13">
        <v>1800.4333794116901</v>
      </c>
      <c r="P13">
        <v>8.6464281082153303</v>
      </c>
      <c r="Q13">
        <v>1800.41609406471</v>
      </c>
      <c r="R13">
        <v>968</v>
      </c>
      <c r="S13">
        <v>285</v>
      </c>
      <c r="T13">
        <v>117</v>
      </c>
      <c r="U13">
        <v>168</v>
      </c>
      <c r="V13">
        <v>0</v>
      </c>
      <c r="W13">
        <v>21</v>
      </c>
      <c r="X13">
        <v>9</v>
      </c>
      <c r="Y13">
        <v>9</v>
      </c>
      <c r="Z13">
        <v>267632</v>
      </c>
      <c r="AA13">
        <v>272309</v>
      </c>
      <c r="AB13">
        <v>4.4817023277282697</v>
      </c>
      <c r="AC13">
        <v>302.53515434265103</v>
      </c>
      <c r="AD13">
        <v>6</v>
      </c>
      <c r="AE13">
        <v>4</v>
      </c>
    </row>
    <row r="14" spans="1:31" x14ac:dyDescent="0.35">
      <c r="A14" t="s">
        <v>30</v>
      </c>
      <c r="B14" t="s">
        <v>31</v>
      </c>
      <c r="C14">
        <v>10</v>
      </c>
      <c r="D14">
        <v>100</v>
      </c>
      <c r="E14">
        <v>2</v>
      </c>
      <c r="F14" t="s">
        <v>32</v>
      </c>
      <c r="H14">
        <v>0</v>
      </c>
      <c r="I14">
        <v>129237</v>
      </c>
      <c r="J14">
        <v>135953</v>
      </c>
      <c r="K14">
        <v>136906</v>
      </c>
      <c r="L14">
        <v>137128</v>
      </c>
      <c r="M14">
        <v>137013.88623837099</v>
      </c>
      <c r="O14">
        <v>1801.23890376091</v>
      </c>
      <c r="P14">
        <v>0.55653953552246005</v>
      </c>
      <c r="Q14">
        <v>1800.56481003761</v>
      </c>
      <c r="R14">
        <v>458</v>
      </c>
      <c r="S14">
        <v>748</v>
      </c>
      <c r="T14">
        <v>328</v>
      </c>
      <c r="U14">
        <v>420</v>
      </c>
      <c r="V14">
        <v>0</v>
      </c>
      <c r="W14">
        <v>45</v>
      </c>
      <c r="X14">
        <v>9</v>
      </c>
      <c r="Y14">
        <v>9</v>
      </c>
      <c r="Z14">
        <v>132486</v>
      </c>
      <c r="AA14">
        <v>135351</v>
      </c>
      <c r="AB14">
        <v>0.14855003356933499</v>
      </c>
      <c r="AC14">
        <v>300.56219840049698</v>
      </c>
      <c r="AD14">
        <v>10</v>
      </c>
      <c r="AE14">
        <v>3</v>
      </c>
    </row>
    <row r="15" spans="1:31" x14ac:dyDescent="0.35">
      <c r="A15" t="s">
        <v>30</v>
      </c>
      <c r="B15" t="s">
        <v>33</v>
      </c>
      <c r="C15">
        <v>10</v>
      </c>
      <c r="D15">
        <v>100</v>
      </c>
      <c r="E15">
        <v>5</v>
      </c>
      <c r="F15" t="s">
        <v>32</v>
      </c>
      <c r="H15">
        <v>0</v>
      </c>
      <c r="I15">
        <v>280813</v>
      </c>
      <c r="J15">
        <v>287558</v>
      </c>
      <c r="K15">
        <v>289043</v>
      </c>
      <c r="L15">
        <v>289450</v>
      </c>
      <c r="M15">
        <v>289378</v>
      </c>
      <c r="O15">
        <v>1800.94841456413</v>
      </c>
      <c r="P15">
        <v>1.83769583702087</v>
      </c>
      <c r="Q15">
        <v>1801.5574636459301</v>
      </c>
      <c r="R15">
        <v>426</v>
      </c>
      <c r="S15">
        <v>534</v>
      </c>
      <c r="T15">
        <v>241</v>
      </c>
      <c r="U15">
        <v>293</v>
      </c>
      <c r="V15">
        <v>0</v>
      </c>
      <c r="W15">
        <v>29</v>
      </c>
      <c r="X15">
        <v>9</v>
      </c>
      <c r="Y15">
        <v>9</v>
      </c>
      <c r="Z15">
        <v>281039</v>
      </c>
      <c r="AA15">
        <v>286837</v>
      </c>
      <c r="AB15">
        <v>0.69704580307006803</v>
      </c>
      <c r="AC15">
        <v>301.95237731933503</v>
      </c>
      <c r="AD15">
        <v>7</v>
      </c>
      <c r="AE15">
        <v>4</v>
      </c>
    </row>
    <row r="16" spans="1:31" x14ac:dyDescent="0.35">
      <c r="A16" t="s">
        <v>30</v>
      </c>
      <c r="B16" t="s">
        <v>34</v>
      </c>
      <c r="C16">
        <v>10</v>
      </c>
      <c r="D16">
        <v>100</v>
      </c>
      <c r="E16">
        <v>8</v>
      </c>
      <c r="F16" t="s">
        <v>32</v>
      </c>
      <c r="H16">
        <v>0</v>
      </c>
      <c r="I16">
        <v>422195</v>
      </c>
      <c r="J16">
        <v>426877</v>
      </c>
      <c r="K16">
        <v>427755</v>
      </c>
      <c r="L16">
        <v>428392.89376449998</v>
      </c>
      <c r="M16">
        <v>428252</v>
      </c>
      <c r="O16">
        <v>1801.62596917152</v>
      </c>
      <c r="P16">
        <v>5.2817542552947998</v>
      </c>
      <c r="Q16">
        <v>1801.13102412223</v>
      </c>
      <c r="R16">
        <v>648</v>
      </c>
      <c r="S16">
        <v>481</v>
      </c>
      <c r="T16">
        <v>195</v>
      </c>
      <c r="U16">
        <v>286</v>
      </c>
      <c r="V16">
        <v>0</v>
      </c>
      <c r="W16">
        <v>29</v>
      </c>
      <c r="X16">
        <v>9</v>
      </c>
      <c r="Y16">
        <v>9</v>
      </c>
      <c r="Z16">
        <v>423163</v>
      </c>
      <c r="AA16">
        <v>426103</v>
      </c>
      <c r="AB16">
        <v>5.5739727020263601</v>
      </c>
      <c r="AC16">
        <v>302.87595891952498</v>
      </c>
      <c r="AD16">
        <v>9</v>
      </c>
      <c r="AE16">
        <v>4</v>
      </c>
    </row>
    <row r="17" spans="1:31" x14ac:dyDescent="0.35">
      <c r="A17" t="s">
        <v>30</v>
      </c>
      <c r="B17" t="s">
        <v>35</v>
      </c>
      <c r="C17">
        <v>15</v>
      </c>
      <c r="D17">
        <v>100</v>
      </c>
      <c r="E17">
        <v>2</v>
      </c>
      <c r="F17" t="s">
        <v>32</v>
      </c>
      <c r="H17">
        <v>0</v>
      </c>
      <c r="I17">
        <v>280650</v>
      </c>
      <c r="J17">
        <v>287039</v>
      </c>
      <c r="K17">
        <v>289515</v>
      </c>
      <c r="L17">
        <v>290634</v>
      </c>
      <c r="M17">
        <v>290543.754701856</v>
      </c>
      <c r="O17">
        <v>1801.3278586864401</v>
      </c>
      <c r="P17">
        <v>10.148464679718</v>
      </c>
      <c r="Q17">
        <v>1800.9876611232701</v>
      </c>
      <c r="R17">
        <v>470</v>
      </c>
      <c r="S17">
        <v>1004</v>
      </c>
      <c r="T17">
        <v>433</v>
      </c>
      <c r="U17">
        <v>571</v>
      </c>
      <c r="V17">
        <v>0</v>
      </c>
      <c r="W17">
        <v>41</v>
      </c>
      <c r="X17">
        <v>9</v>
      </c>
      <c r="Y17">
        <v>9</v>
      </c>
      <c r="Z17">
        <v>279219</v>
      </c>
      <c r="AA17">
        <v>285789</v>
      </c>
      <c r="AB17">
        <v>0.60649061203002896</v>
      </c>
      <c r="AC17">
        <v>302.50697016715998</v>
      </c>
      <c r="AD17">
        <v>7</v>
      </c>
      <c r="AE17">
        <v>7</v>
      </c>
    </row>
    <row r="18" spans="1:31" x14ac:dyDescent="0.35">
      <c r="A18" t="s">
        <v>30</v>
      </c>
      <c r="B18" t="s">
        <v>36</v>
      </c>
      <c r="C18">
        <v>15</v>
      </c>
      <c r="D18">
        <v>100</v>
      </c>
      <c r="E18">
        <v>5</v>
      </c>
      <c r="F18" t="s">
        <v>32</v>
      </c>
      <c r="H18">
        <v>0</v>
      </c>
      <c r="I18">
        <v>632846</v>
      </c>
      <c r="J18">
        <v>642663</v>
      </c>
      <c r="K18">
        <v>643995</v>
      </c>
      <c r="L18">
        <v>645676.61853385402</v>
      </c>
      <c r="M18">
        <v>645367.49544664205</v>
      </c>
      <c r="O18">
        <v>1800.73908090591</v>
      </c>
      <c r="P18">
        <v>9.6914582252502406</v>
      </c>
      <c r="Q18">
        <v>1801.3747024536101</v>
      </c>
      <c r="R18">
        <v>296</v>
      </c>
      <c r="S18">
        <v>310</v>
      </c>
      <c r="T18">
        <v>139</v>
      </c>
      <c r="U18">
        <v>171</v>
      </c>
      <c r="V18">
        <v>0</v>
      </c>
      <c r="W18">
        <v>13</v>
      </c>
      <c r="X18">
        <v>9</v>
      </c>
      <c r="Y18">
        <v>9</v>
      </c>
      <c r="Z18">
        <v>627079</v>
      </c>
      <c r="AA18">
        <v>641256</v>
      </c>
      <c r="AB18">
        <v>1.1108021736145</v>
      </c>
      <c r="AC18">
        <v>302.07322549819901</v>
      </c>
      <c r="AD18">
        <v>9</v>
      </c>
      <c r="AE18">
        <v>6</v>
      </c>
    </row>
    <row r="19" spans="1:31" x14ac:dyDescent="0.35">
      <c r="A19" t="s">
        <v>30</v>
      </c>
      <c r="B19" t="s">
        <v>37</v>
      </c>
      <c r="C19">
        <v>15</v>
      </c>
      <c r="D19">
        <v>100</v>
      </c>
      <c r="E19">
        <v>8</v>
      </c>
      <c r="F19" t="s">
        <v>32</v>
      </c>
      <c r="H19">
        <v>0</v>
      </c>
      <c r="I19">
        <v>956160</v>
      </c>
      <c r="J19">
        <v>963795</v>
      </c>
      <c r="K19">
        <v>965175</v>
      </c>
      <c r="L19">
        <v>967081.20573742106</v>
      </c>
      <c r="M19">
        <v>966521.84702957096</v>
      </c>
      <c r="O19">
        <v>1800.4740967750499</v>
      </c>
      <c r="P19">
        <v>18.0225973129272</v>
      </c>
      <c r="Q19">
        <v>1800.7464208602901</v>
      </c>
      <c r="R19">
        <v>258</v>
      </c>
      <c r="S19">
        <v>310</v>
      </c>
      <c r="T19">
        <v>137</v>
      </c>
      <c r="U19">
        <v>173</v>
      </c>
      <c r="V19">
        <v>0</v>
      </c>
      <c r="W19">
        <v>12</v>
      </c>
      <c r="X19">
        <v>9</v>
      </c>
      <c r="Y19">
        <v>9</v>
      </c>
      <c r="Z19">
        <v>954666</v>
      </c>
      <c r="AA19">
        <v>963795</v>
      </c>
      <c r="AB19">
        <v>6.5942137241363499</v>
      </c>
      <c r="AC19">
        <v>303.08020210266102</v>
      </c>
      <c r="AD19">
        <v>9</v>
      </c>
      <c r="AE19">
        <v>3</v>
      </c>
    </row>
    <row r="20" spans="1:31" x14ac:dyDescent="0.35">
      <c r="A20" t="s">
        <v>30</v>
      </c>
      <c r="B20" t="s">
        <v>41</v>
      </c>
      <c r="C20">
        <v>20</v>
      </c>
      <c r="D20">
        <v>100</v>
      </c>
      <c r="E20">
        <v>2</v>
      </c>
      <c r="F20" t="s">
        <v>32</v>
      </c>
      <c r="H20">
        <v>0</v>
      </c>
      <c r="I20">
        <v>477111</v>
      </c>
      <c r="J20">
        <v>488660</v>
      </c>
      <c r="K20">
        <v>491152</v>
      </c>
      <c r="L20">
        <v>493199.72784053802</v>
      </c>
      <c r="M20">
        <v>493073.84637316398</v>
      </c>
      <c r="O20">
        <v>1800.46827578544</v>
      </c>
      <c r="P20">
        <v>1.9861078262329099</v>
      </c>
      <c r="Q20">
        <v>1800.4321587085699</v>
      </c>
      <c r="R20">
        <v>358</v>
      </c>
      <c r="S20">
        <v>543</v>
      </c>
      <c r="T20">
        <v>237</v>
      </c>
      <c r="U20">
        <v>306</v>
      </c>
      <c r="V20">
        <v>0</v>
      </c>
      <c r="W20">
        <v>17</v>
      </c>
      <c r="X20">
        <v>9</v>
      </c>
      <c r="Y20">
        <v>9</v>
      </c>
      <c r="Z20">
        <v>479878</v>
      </c>
      <c r="AA20">
        <v>486648</v>
      </c>
      <c r="AB20">
        <v>0.68516993522643999</v>
      </c>
      <c r="AC20">
        <v>301.87895441055298</v>
      </c>
      <c r="AD20">
        <v>10</v>
      </c>
      <c r="AE20">
        <v>4</v>
      </c>
    </row>
    <row r="21" spans="1:31" x14ac:dyDescent="0.35">
      <c r="A21" t="s">
        <v>30</v>
      </c>
      <c r="B21" t="s">
        <v>42</v>
      </c>
      <c r="C21">
        <v>20</v>
      </c>
      <c r="D21">
        <v>100</v>
      </c>
      <c r="E21">
        <v>5</v>
      </c>
      <c r="F21" t="s">
        <v>32</v>
      </c>
      <c r="H21">
        <v>0</v>
      </c>
      <c r="I21">
        <v>1109513</v>
      </c>
      <c r="J21">
        <v>1123832</v>
      </c>
      <c r="K21">
        <v>1125534</v>
      </c>
      <c r="L21">
        <v>1129159.2793429201</v>
      </c>
      <c r="M21">
        <v>1129013.96216944</v>
      </c>
      <c r="O21">
        <v>1800.5591154098499</v>
      </c>
      <c r="P21">
        <v>2.4340348243713299</v>
      </c>
      <c r="Q21">
        <v>1800.7705850601101</v>
      </c>
      <c r="R21">
        <v>341</v>
      </c>
      <c r="S21">
        <v>354</v>
      </c>
      <c r="T21">
        <v>159</v>
      </c>
      <c r="U21">
        <v>195</v>
      </c>
      <c r="V21">
        <v>0</v>
      </c>
      <c r="W21">
        <v>11</v>
      </c>
      <c r="X21">
        <v>9</v>
      </c>
      <c r="Y21">
        <v>9</v>
      </c>
      <c r="Z21">
        <v>1108224</v>
      </c>
      <c r="AA21">
        <v>1121601</v>
      </c>
      <c r="AB21">
        <v>0.97390007972717196</v>
      </c>
      <c r="AC21">
        <v>302.02662062644902</v>
      </c>
      <c r="AD21">
        <v>9</v>
      </c>
      <c r="AE21">
        <v>4</v>
      </c>
    </row>
    <row r="22" spans="1:31" x14ac:dyDescent="0.35">
      <c r="A22" t="s">
        <v>30</v>
      </c>
      <c r="B22" t="s">
        <v>43</v>
      </c>
      <c r="C22">
        <v>20</v>
      </c>
      <c r="D22">
        <v>100</v>
      </c>
      <c r="E22">
        <v>8</v>
      </c>
      <c r="F22" t="s">
        <v>32</v>
      </c>
      <c r="H22">
        <v>0</v>
      </c>
      <c r="I22">
        <v>1660788</v>
      </c>
      <c r="J22">
        <v>1670692</v>
      </c>
      <c r="K22">
        <v>1672948</v>
      </c>
      <c r="L22">
        <v>1677616.42361422</v>
      </c>
      <c r="M22">
        <v>1677261.25197785</v>
      </c>
      <c r="O22">
        <v>1800.69824028015</v>
      </c>
      <c r="P22">
        <v>8.6435825824737496</v>
      </c>
      <c r="Q22">
        <v>1800.52103114128</v>
      </c>
      <c r="R22">
        <v>284</v>
      </c>
      <c r="S22">
        <v>371</v>
      </c>
      <c r="T22">
        <v>169</v>
      </c>
      <c r="U22">
        <v>202</v>
      </c>
      <c r="V22">
        <v>0</v>
      </c>
      <c r="W22">
        <v>14</v>
      </c>
      <c r="X22">
        <v>9</v>
      </c>
      <c r="Y22">
        <v>9</v>
      </c>
      <c r="Z22">
        <v>1661335</v>
      </c>
      <c r="AA22">
        <v>1671947</v>
      </c>
      <c r="AB22">
        <v>8.3644850254058802</v>
      </c>
      <c r="AC22">
        <v>302.74483132362298</v>
      </c>
      <c r="AD22">
        <v>11</v>
      </c>
      <c r="AE22">
        <v>2</v>
      </c>
    </row>
    <row r="23" spans="1:31" x14ac:dyDescent="0.35">
      <c r="A23" t="s">
        <v>30</v>
      </c>
      <c r="B23" t="s">
        <v>44</v>
      </c>
      <c r="C23">
        <v>25</v>
      </c>
      <c r="D23">
        <v>100</v>
      </c>
      <c r="E23">
        <v>2</v>
      </c>
      <c r="F23" t="s">
        <v>32</v>
      </c>
      <c r="H23">
        <v>0</v>
      </c>
      <c r="I23">
        <v>750934</v>
      </c>
      <c r="J23">
        <v>761406</v>
      </c>
      <c r="K23">
        <v>763494</v>
      </c>
      <c r="L23">
        <v>767584.75759131694</v>
      </c>
      <c r="M23">
        <v>767499.25252659596</v>
      </c>
      <c r="O23">
        <v>1800.7648398876099</v>
      </c>
      <c r="P23">
        <v>3.49582743644714</v>
      </c>
      <c r="Q23">
        <v>1800.88493108749</v>
      </c>
      <c r="R23">
        <v>331</v>
      </c>
      <c r="S23">
        <v>450</v>
      </c>
      <c r="T23">
        <v>201</v>
      </c>
      <c r="U23">
        <v>249</v>
      </c>
      <c r="V23">
        <v>0</v>
      </c>
      <c r="W23">
        <v>12</v>
      </c>
      <c r="X23">
        <v>9</v>
      </c>
      <c r="Y23">
        <v>9</v>
      </c>
      <c r="Z23">
        <v>753453</v>
      </c>
      <c r="AA23">
        <v>759820</v>
      </c>
      <c r="AB23">
        <v>0.89844822883605902</v>
      </c>
      <c r="AC23">
        <v>303.35298037528901</v>
      </c>
      <c r="AD23">
        <v>9</v>
      </c>
      <c r="AE23">
        <v>4</v>
      </c>
    </row>
    <row r="24" spans="1:31" x14ac:dyDescent="0.35">
      <c r="A24" t="s">
        <v>30</v>
      </c>
      <c r="B24" t="s">
        <v>45</v>
      </c>
      <c r="C24">
        <v>25</v>
      </c>
      <c r="D24">
        <v>100</v>
      </c>
      <c r="E24">
        <v>5</v>
      </c>
      <c r="F24" t="s">
        <v>32</v>
      </c>
      <c r="H24">
        <v>0</v>
      </c>
      <c r="I24">
        <v>1690583</v>
      </c>
      <c r="J24">
        <v>1719924</v>
      </c>
      <c r="K24">
        <v>1723716</v>
      </c>
      <c r="L24">
        <v>1728684.48824728</v>
      </c>
      <c r="M24">
        <v>1728565.9641784199</v>
      </c>
      <c r="O24">
        <v>1800.7377140522001</v>
      </c>
      <c r="P24">
        <v>5.1808276176452601</v>
      </c>
      <c r="Q24">
        <v>1801.00358057022</v>
      </c>
      <c r="R24">
        <v>311</v>
      </c>
      <c r="S24">
        <v>453</v>
      </c>
      <c r="T24">
        <v>220</v>
      </c>
      <c r="U24">
        <v>233</v>
      </c>
      <c r="V24">
        <v>0</v>
      </c>
      <c r="W24">
        <v>11</v>
      </c>
      <c r="X24">
        <v>9</v>
      </c>
      <c r="Y24">
        <v>9</v>
      </c>
      <c r="Z24">
        <v>1695954</v>
      </c>
      <c r="AA24">
        <v>1717690</v>
      </c>
      <c r="AB24">
        <v>3.9557003974914502</v>
      </c>
      <c r="AC24">
        <v>304.215553760528</v>
      </c>
      <c r="AD24">
        <v>20</v>
      </c>
      <c r="AE24">
        <v>8</v>
      </c>
    </row>
    <row r="25" spans="1:31" x14ac:dyDescent="0.35">
      <c r="A25" t="s">
        <v>30</v>
      </c>
      <c r="B25" t="s">
        <v>46</v>
      </c>
      <c r="C25">
        <v>25</v>
      </c>
      <c r="D25">
        <v>100</v>
      </c>
      <c r="E25">
        <v>8</v>
      </c>
      <c r="F25" t="s">
        <v>32</v>
      </c>
      <c r="H25">
        <v>0</v>
      </c>
      <c r="I25">
        <v>2588044</v>
      </c>
      <c r="J25">
        <v>2609987</v>
      </c>
      <c r="K25">
        <v>2614314</v>
      </c>
      <c r="L25">
        <v>2623115.5948397401</v>
      </c>
      <c r="M25">
        <v>2622885.2125066901</v>
      </c>
      <c r="O25">
        <v>1800.8240005969999</v>
      </c>
      <c r="P25">
        <v>11.047806978225699</v>
      </c>
      <c r="Q25">
        <v>1800.68077683448</v>
      </c>
      <c r="R25">
        <v>429</v>
      </c>
      <c r="S25">
        <v>455</v>
      </c>
      <c r="T25">
        <v>207</v>
      </c>
      <c r="U25">
        <v>248</v>
      </c>
      <c r="V25">
        <v>0</v>
      </c>
      <c r="W25">
        <v>11</v>
      </c>
      <c r="X25">
        <v>9</v>
      </c>
      <c r="Y25">
        <v>9</v>
      </c>
      <c r="Z25">
        <v>2586770</v>
      </c>
      <c r="AA25">
        <v>2608542</v>
      </c>
      <c r="AB25">
        <v>12.0878736972808</v>
      </c>
      <c r="AC25">
        <v>306.539255142211</v>
      </c>
      <c r="AD25">
        <v>13</v>
      </c>
      <c r="AE25">
        <v>5</v>
      </c>
    </row>
    <row r="26" spans="1:31" x14ac:dyDescent="0.35">
      <c r="A26" t="s">
        <v>30</v>
      </c>
      <c r="B26" t="s">
        <v>50</v>
      </c>
      <c r="C26">
        <v>30</v>
      </c>
      <c r="D26">
        <v>100</v>
      </c>
      <c r="E26">
        <v>2</v>
      </c>
      <c r="F26" t="s">
        <v>32</v>
      </c>
      <c r="H26">
        <v>0</v>
      </c>
      <c r="I26">
        <v>1057390</v>
      </c>
      <c r="J26">
        <v>1085194</v>
      </c>
      <c r="K26">
        <v>1088812</v>
      </c>
      <c r="L26">
        <v>1094717.6709856801</v>
      </c>
      <c r="M26">
        <v>1094651.4214470801</v>
      </c>
      <c r="O26">
        <v>1800.88763093948</v>
      </c>
      <c r="P26">
        <v>5.1066312789916903</v>
      </c>
      <c r="Q26">
        <v>1801.8297493457801</v>
      </c>
      <c r="R26">
        <v>399</v>
      </c>
      <c r="S26">
        <v>539</v>
      </c>
      <c r="T26">
        <v>260</v>
      </c>
      <c r="U26">
        <v>279</v>
      </c>
      <c r="V26">
        <v>0</v>
      </c>
      <c r="W26">
        <v>11</v>
      </c>
      <c r="X26">
        <v>9</v>
      </c>
      <c r="Y26">
        <v>9</v>
      </c>
      <c r="Z26">
        <v>1055240</v>
      </c>
      <c r="AA26">
        <v>1085267</v>
      </c>
      <c r="AB26">
        <v>2.3138542175292902</v>
      </c>
      <c r="AC26">
        <v>305.82276844978298</v>
      </c>
      <c r="AD26">
        <v>12</v>
      </c>
      <c r="AE26">
        <v>14</v>
      </c>
    </row>
    <row r="27" spans="1:31" x14ac:dyDescent="0.35">
      <c r="A27" t="s">
        <v>30</v>
      </c>
      <c r="B27" t="s">
        <v>51</v>
      </c>
      <c r="C27">
        <v>30</v>
      </c>
      <c r="D27">
        <v>100</v>
      </c>
      <c r="E27">
        <v>5</v>
      </c>
      <c r="F27" t="s">
        <v>32</v>
      </c>
      <c r="H27">
        <v>0</v>
      </c>
      <c r="I27">
        <v>2436150</v>
      </c>
      <c r="J27">
        <v>2460300</v>
      </c>
      <c r="K27">
        <v>2465847</v>
      </c>
      <c r="L27">
        <v>2473410.9758013799</v>
      </c>
      <c r="M27">
        <v>2473286.12071823</v>
      </c>
      <c r="O27">
        <v>1800.9324843883501</v>
      </c>
      <c r="P27">
        <v>8.8854529857635498</v>
      </c>
      <c r="Q27">
        <v>1800.9925560951201</v>
      </c>
      <c r="R27">
        <v>401</v>
      </c>
      <c r="S27">
        <v>504</v>
      </c>
      <c r="T27">
        <v>234</v>
      </c>
      <c r="U27">
        <v>270</v>
      </c>
      <c r="V27">
        <v>0</v>
      </c>
      <c r="W27">
        <v>10</v>
      </c>
      <c r="X27">
        <v>9</v>
      </c>
      <c r="Y27">
        <v>9</v>
      </c>
      <c r="Z27">
        <v>2409323</v>
      </c>
      <c r="AA27">
        <v>2460410</v>
      </c>
      <c r="AB27">
        <v>3.7670805454254102</v>
      </c>
      <c r="AC27">
        <v>305.064269304275</v>
      </c>
      <c r="AD27">
        <v>13</v>
      </c>
      <c r="AE27">
        <v>5</v>
      </c>
    </row>
    <row r="28" spans="1:31" x14ac:dyDescent="0.35">
      <c r="A28" t="s">
        <v>30</v>
      </c>
      <c r="B28" t="s">
        <v>52</v>
      </c>
      <c r="C28">
        <v>30</v>
      </c>
      <c r="D28">
        <v>100</v>
      </c>
      <c r="E28">
        <v>8</v>
      </c>
      <c r="F28" t="s">
        <v>32</v>
      </c>
      <c r="H28">
        <v>0</v>
      </c>
      <c r="I28">
        <v>3733940</v>
      </c>
      <c r="J28">
        <v>3749025</v>
      </c>
      <c r="K28">
        <v>3750785</v>
      </c>
      <c r="L28">
        <v>3763943.8945923001</v>
      </c>
      <c r="M28">
        <v>3763960.7173485002</v>
      </c>
      <c r="O28">
        <v>1800.9944884777001</v>
      </c>
      <c r="P28">
        <v>24.045845746994001</v>
      </c>
      <c r="Q28">
        <v>1800.81050229072</v>
      </c>
      <c r="R28">
        <v>449</v>
      </c>
      <c r="S28">
        <v>418</v>
      </c>
      <c r="T28">
        <v>204</v>
      </c>
      <c r="U28">
        <v>214</v>
      </c>
      <c r="V28">
        <v>0</v>
      </c>
      <c r="W28">
        <v>8</v>
      </c>
      <c r="X28">
        <v>9</v>
      </c>
      <c r="Y28">
        <v>9</v>
      </c>
      <c r="Z28">
        <v>3729815</v>
      </c>
      <c r="AA28">
        <v>3745029</v>
      </c>
      <c r="AB28">
        <v>16.977599382400498</v>
      </c>
      <c r="AC28">
        <v>310.24513626098599</v>
      </c>
      <c r="AD28">
        <v>11</v>
      </c>
      <c r="AE28">
        <v>6</v>
      </c>
    </row>
  </sheetData>
  <autoFilter ref="A1:AE1" xr:uid="{488E9639-B99A-4CD6-BF64-2566048B8572}">
    <sortState xmlns:xlrd2="http://schemas.microsoft.com/office/spreadsheetml/2017/richdata2" ref="A2:AE2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BZRvsZR</vt:lpstr>
      <vt:lpstr>RR-BRD</vt:lpstr>
      <vt:lpstr>KPG_test_B_original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Hyunwoo</cp:lastModifiedBy>
  <dcterms:created xsi:type="dcterms:W3CDTF">2025-12-16T21:58:18Z</dcterms:created>
  <dcterms:modified xsi:type="dcterms:W3CDTF">2026-01-25T15:18:18Z</dcterms:modified>
</cp:coreProperties>
</file>