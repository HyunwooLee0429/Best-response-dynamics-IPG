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KPG/KPG_results/"/>
    </mc:Choice>
  </mc:AlternateContent>
  <xr:revisionPtr revIDLastSave="0" documentId="6_{7E991EE7-EE37-4142-AC5A-954BEC1EB3C1}" xr6:coauthVersionLast="47" xr6:coauthVersionMax="47" xr10:uidLastSave="{00000000-0000-0000-0000-000000000000}"/>
  <bookViews>
    <workbookView xWindow="38280" yWindow="-120" windowWidth="38640" windowHeight="21120" activeTab="2" xr2:uid="{ECEAF6C6-2AE8-40C8-82A8-D3341710B1E5}"/>
  </bookViews>
  <sheets>
    <sheet name="BZRvsZR" sheetId="4" r:id="rId1"/>
    <sheet name="RR-BRD" sheetId="3" r:id="rId2"/>
    <sheet name="KPG_test_C_test" sheetId="1" r:id="rId3"/>
  </sheets>
  <definedNames>
    <definedName name="_xlnm._FilterDatabase" localSheetId="2" hidden="1">KPG_test_C_test!$A$1:$AE$1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/>
  <c r="F29" i="3"/>
  <c r="G29" i="3"/>
  <c r="H29" i="3"/>
  <c r="I29" i="3"/>
  <c r="J29" i="3"/>
  <c r="K29" i="3"/>
  <c r="L29" i="3"/>
  <c r="C29" i="3"/>
  <c r="J28" i="4"/>
  <c r="F28" i="3"/>
  <c r="F27" i="3"/>
  <c r="F26" i="3"/>
  <c r="F23" i="3"/>
  <c r="F22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P29" i="4"/>
  <c r="O29" i="4"/>
  <c r="D29" i="4"/>
  <c r="C29" i="4"/>
  <c r="J3" i="4"/>
  <c r="J29" i="4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2" i="4"/>
  <c r="J23" i="4"/>
  <c r="J26" i="4"/>
  <c r="J27" i="4"/>
  <c r="J2" i="4"/>
</calcChain>
</file>

<file path=xl/sharedStrings.xml><?xml version="1.0" encoding="utf-8"?>
<sst xmlns="http://schemas.openxmlformats.org/spreadsheetml/2006/main" count="202" uniqueCount="61">
  <si>
    <t>filename</t>
  </si>
  <si>
    <t>players</t>
  </si>
  <si>
    <t>items</t>
  </si>
  <si>
    <t>budgets</t>
  </si>
  <si>
    <t>category</t>
  </si>
  <si>
    <t>ZR_1st</t>
  </si>
  <si>
    <t>ZR</t>
  </si>
  <si>
    <t>BZR_1st</t>
  </si>
  <si>
    <t>BZR</t>
  </si>
  <si>
    <t>OSW</t>
  </si>
  <si>
    <t>bound_ZR</t>
  </si>
  <si>
    <t>bound_BZR</t>
  </si>
  <si>
    <t>ZR_1st_T</t>
  </si>
  <si>
    <t>ZR_T</t>
  </si>
  <si>
    <t>BZR_1st_T</t>
  </si>
  <si>
    <t>BZR_T</t>
  </si>
  <si>
    <t>Cuts_ZR</t>
  </si>
  <si>
    <t>Cuts_BZR_total</t>
  </si>
  <si>
    <t>Cuts_BZR</t>
  </si>
  <si>
    <t>Ad_Cuts_BZR</t>
  </si>
  <si>
    <t>num_PNEs_ZR</t>
  </si>
  <si>
    <t>num_PNEs_BZR</t>
  </si>
  <si>
    <t>Status_ZR</t>
  </si>
  <si>
    <t>Status_BZR</t>
  </si>
  <si>
    <t>BRD(0)</t>
  </si>
  <si>
    <t>BRD(OSW)</t>
  </si>
  <si>
    <t>BRD(0)_T</t>
  </si>
  <si>
    <t>BRD(OSW)_T</t>
  </si>
  <si>
    <t>it_BRD(0)</t>
  </si>
  <si>
    <t>it_BRD(OSW)</t>
  </si>
  <si>
    <t>Total</t>
  </si>
  <si>
    <t>10-100-2-cij-sn.txt</t>
  </si>
  <si>
    <t>C</t>
  </si>
  <si>
    <t>10-100-5-cij-sn.txt</t>
  </si>
  <si>
    <t>10-100-8-cij-sn.txt</t>
  </si>
  <si>
    <t>15-100-2-cij-sn.txt</t>
  </si>
  <si>
    <t>15-100-5-cij-sn.txt</t>
  </si>
  <si>
    <t>15-100-8-cij-sn.txt</t>
  </si>
  <si>
    <t>2-100-2-cij-sn.txt</t>
  </si>
  <si>
    <t>2-100-5-cij-sn.txt</t>
  </si>
  <si>
    <t>2-100-8-cij-sn.txt</t>
  </si>
  <si>
    <t>20-100-2-cij-sn.txt</t>
  </si>
  <si>
    <t>20-100-5-cij-sn.txt</t>
  </si>
  <si>
    <t>20-100-8-cij-sn.txt</t>
  </si>
  <si>
    <t>25-100-2-cij-sn.txt</t>
  </si>
  <si>
    <t>25-100-5-cij-sn.txt</t>
  </si>
  <si>
    <t>25-100-8-cij-sn.txt</t>
  </si>
  <si>
    <t>3-100-2-cij-sn.txt</t>
  </si>
  <si>
    <t>3-100-5-cij-sn.txt</t>
  </si>
  <si>
    <t>3-100-8-cij-sn.txt</t>
  </si>
  <si>
    <t>30-100-2-cij-sn.txt</t>
  </si>
  <si>
    <t>30-100-5-cij-sn.txt</t>
  </si>
  <si>
    <t>30-100-8-cij-sn.txt</t>
  </si>
  <si>
    <t>5-100-2-cij-sn.txt</t>
  </si>
  <si>
    <t>5-100-5-cij-sn.txt</t>
  </si>
  <si>
    <t>5-100-8-cij-sn.txt</t>
  </si>
  <si>
    <t>8-100-2-cij-sn.txt</t>
  </si>
  <si>
    <t>8-100-5-cij-sn.txt</t>
  </si>
  <si>
    <t>8-100-8-cij-sn.txt</t>
  </si>
  <si>
    <t>POS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</si>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</sst>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165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00BC-13AF-4D1D-B2E9-A1C941F5881F}">
  <dimension ref="A1:P29"/>
  <sheetViews>
    <sheetView workbookViewId="0">
      <selection activeCell="F26" sqref="F26"/>
    </sheetView>
  </sheetViews>
  <sheetFormatPr defaultRowHeight="14.25"/>
  <cols>
    <col min="11" max="11" width="9.375" bestFit="1" customWidth="1"/>
    <col min="12" max="12" width="10.375" bestFit="1" customWidth="1"/>
    <col min="13" max="13" width="9.125" bestFit="1" customWidth="1"/>
    <col min="14" max="14" width="10.375" bestFit="1" customWidth="1"/>
  </cols>
  <sheetData>
    <row r="1" spans="1:16">
      <c r="A1" t="s">
        <v>1</v>
      </c>
      <c r="B1" t="s">
        <v>3</v>
      </c>
      <c r="C1" t="s">
        <v>20</v>
      </c>
      <c r="D1" t="s">
        <v>21</v>
      </c>
      <c r="E1" t="s">
        <v>6</v>
      </c>
      <c r="F1" t="s">
        <v>8</v>
      </c>
      <c r="G1" t="s">
        <v>10</v>
      </c>
      <c r="H1" t="s">
        <v>11</v>
      </c>
      <c r="I1" t="s">
        <v>9</v>
      </c>
      <c r="J1" t="s">
        <v>59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>
      <c r="A2">
        <v>2</v>
      </c>
      <c r="B2">
        <v>0.2</v>
      </c>
      <c r="C2">
        <v>1</v>
      </c>
      <c r="D2">
        <v>1</v>
      </c>
      <c r="E2" s="1">
        <v>4.6849999999999996</v>
      </c>
      <c r="F2" s="1">
        <v>4.6849999999999996</v>
      </c>
      <c r="G2" s="1">
        <v>4.6849999999999996</v>
      </c>
      <c r="H2" s="1">
        <v>4.6849999999999996</v>
      </c>
      <c r="I2" s="1">
        <v>4.7160000000000002</v>
      </c>
      <c r="J2" s="2">
        <f>I2/F2</f>
        <v>1.0066168623265743</v>
      </c>
      <c r="K2" s="1">
        <v>0.41858696937561002</v>
      </c>
      <c r="L2" s="1">
        <v>0.61936831474304199</v>
      </c>
      <c r="M2" s="1">
        <v>8.8427782058715806E-2</v>
      </c>
      <c r="N2" s="1">
        <v>0.49005484580993602</v>
      </c>
      <c r="O2">
        <v>4075</v>
      </c>
      <c r="P2">
        <v>4085</v>
      </c>
    </row>
    <row r="3" spans="1:16" ht="15">
      <c r="B3">
        <v>0.5</v>
      </c>
      <c r="C3">
        <v>3</v>
      </c>
      <c r="D3" s="3">
        <v>14</v>
      </c>
      <c r="E3" s="1">
        <v>7.7569999999999997</v>
      </c>
      <c r="F3" s="1">
        <v>7.7569999999999997</v>
      </c>
      <c r="G3" s="1">
        <v>7.7569999999999997</v>
      </c>
      <c r="H3" s="1">
        <v>7.7569999999999997</v>
      </c>
      <c r="I3" s="1">
        <v>7.8090000000000002</v>
      </c>
      <c r="J3" s="2">
        <f t="shared" ref="J3:J28" si="0">I3/F3</f>
        <v>1.006703622534485</v>
      </c>
      <c r="K3" s="1">
        <v>2.26875877380371</v>
      </c>
      <c r="L3" s="1">
        <v>3.27077913284301</v>
      </c>
      <c r="M3" s="1">
        <v>0.1319580078125</v>
      </c>
      <c r="N3" s="1">
        <v>3.6899662017822199</v>
      </c>
      <c r="O3">
        <v>4159</v>
      </c>
      <c r="P3">
        <v>4196</v>
      </c>
    </row>
    <row r="4" spans="1:16" ht="15">
      <c r="B4">
        <v>0.8</v>
      </c>
      <c r="C4">
        <v>1</v>
      </c>
      <c r="D4" s="3">
        <v>2</v>
      </c>
      <c r="E4" s="1">
        <v>8.3559999999999999</v>
      </c>
      <c r="F4" s="1">
        <v>8.3559999999999999</v>
      </c>
      <c r="G4" s="1">
        <v>8.3559999999999999</v>
      </c>
      <c r="H4" s="1">
        <v>8.3559999999999999</v>
      </c>
      <c r="I4" s="1">
        <v>8.4250000000000007</v>
      </c>
      <c r="J4" s="2">
        <f t="shared" si="0"/>
        <v>1.0082575394925803</v>
      </c>
      <c r="K4" s="1">
        <v>0.61134386062622004</v>
      </c>
      <c r="L4" s="1">
        <v>0.79950356483459395</v>
      </c>
      <c r="M4" s="1">
        <v>9.9093675613403306E-2</v>
      </c>
      <c r="N4" s="1">
        <v>0.89308524131774902</v>
      </c>
      <c r="O4">
        <v>3567</v>
      </c>
      <c r="P4">
        <v>3583</v>
      </c>
    </row>
    <row r="5" spans="1:16" ht="15">
      <c r="A5">
        <v>3</v>
      </c>
      <c r="B5">
        <v>0.2</v>
      </c>
      <c r="C5">
        <v>1</v>
      </c>
      <c r="D5" s="3">
        <v>3</v>
      </c>
      <c r="E5" s="1">
        <v>7.1340000000000003</v>
      </c>
      <c r="F5" s="1">
        <v>7.1340000000000003</v>
      </c>
      <c r="G5" s="1">
        <v>7.1340000000000003</v>
      </c>
      <c r="H5" s="1">
        <v>7.1340000000000003</v>
      </c>
      <c r="I5" s="1">
        <v>7.218</v>
      </c>
      <c r="J5" s="2">
        <f t="shared" si="0"/>
        <v>1.0117746005046258</v>
      </c>
      <c r="K5" s="1">
        <v>3.56724882125854</v>
      </c>
      <c r="L5" s="1">
        <v>3.8643319606781001</v>
      </c>
      <c r="M5" s="1">
        <v>0.117222309112548</v>
      </c>
      <c r="N5" s="1">
        <v>1.8364677429199201</v>
      </c>
      <c r="O5">
        <v>4385</v>
      </c>
      <c r="P5">
        <v>4407</v>
      </c>
    </row>
    <row r="6" spans="1:16" ht="15">
      <c r="B6">
        <v>0.5</v>
      </c>
      <c r="C6">
        <v>2</v>
      </c>
      <c r="D6" s="3">
        <v>5</v>
      </c>
      <c r="E6" s="1">
        <v>10.295</v>
      </c>
      <c r="F6" s="1">
        <v>10.295</v>
      </c>
      <c r="G6" s="1">
        <v>10.295</v>
      </c>
      <c r="H6" s="1">
        <v>10.295</v>
      </c>
      <c r="I6" s="1">
        <v>10.407</v>
      </c>
      <c r="J6" s="2">
        <f t="shared" si="0"/>
        <v>1.0108790675084993</v>
      </c>
      <c r="K6" s="1">
        <v>39.134738206863403</v>
      </c>
      <c r="L6" s="1">
        <v>51.221125841140697</v>
      </c>
      <c r="M6" s="1">
        <v>0.33210635185241699</v>
      </c>
      <c r="N6" s="1">
        <v>12.295384883880599</v>
      </c>
      <c r="O6">
        <v>4442</v>
      </c>
      <c r="P6">
        <v>4451</v>
      </c>
    </row>
    <row r="7" spans="1:16" ht="15">
      <c r="B7">
        <v>0.8</v>
      </c>
      <c r="C7">
        <v>2</v>
      </c>
      <c r="D7" s="3">
        <v>4</v>
      </c>
      <c r="E7" s="1">
        <v>11.555</v>
      </c>
      <c r="F7" s="1">
        <v>11.555</v>
      </c>
      <c r="G7" s="1">
        <v>11.555</v>
      </c>
      <c r="H7" s="1">
        <v>11.555</v>
      </c>
      <c r="I7" s="1">
        <v>11.833</v>
      </c>
      <c r="J7" s="2">
        <f t="shared" si="0"/>
        <v>1.0240588489831242</v>
      </c>
      <c r="K7" s="1">
        <v>1.25229096412658</v>
      </c>
      <c r="L7" s="1">
        <v>1.41812992095947</v>
      </c>
      <c r="M7" s="1">
        <v>0.14086103439330999</v>
      </c>
      <c r="N7" s="1">
        <v>1.6148052215576101</v>
      </c>
      <c r="O7">
        <v>5629</v>
      </c>
      <c r="P7">
        <v>5647</v>
      </c>
    </row>
    <row r="8" spans="1:16" ht="15">
      <c r="A8">
        <v>5</v>
      </c>
      <c r="B8">
        <v>0.2</v>
      </c>
      <c r="C8">
        <v>0</v>
      </c>
      <c r="D8" s="3">
        <v>14</v>
      </c>
      <c r="E8" s="2" t="s">
        <v>60</v>
      </c>
      <c r="F8" s="4">
        <v>10.257</v>
      </c>
      <c r="G8" s="1">
        <v>10.297000000000001</v>
      </c>
      <c r="H8" s="1">
        <v>10.257</v>
      </c>
      <c r="I8" s="1">
        <v>10.382</v>
      </c>
      <c r="J8" s="2">
        <f t="shared" si="0"/>
        <v>1.0121867992590425</v>
      </c>
      <c r="K8" s="1" t="s">
        <v>60</v>
      </c>
      <c r="L8" s="1">
        <v>1800.3751001358</v>
      </c>
      <c r="M8" s="1">
        <v>0.26982569694518999</v>
      </c>
      <c r="N8" s="1">
        <v>243.39543366432099</v>
      </c>
      <c r="O8">
        <v>4198</v>
      </c>
      <c r="P8">
        <v>4274</v>
      </c>
    </row>
    <row r="9" spans="1:16" ht="15">
      <c r="B9">
        <v>0.5</v>
      </c>
      <c r="C9">
        <v>0</v>
      </c>
      <c r="D9" s="3">
        <v>20</v>
      </c>
      <c r="E9" s="2" t="s">
        <v>60</v>
      </c>
      <c r="F9" s="4">
        <v>14.289</v>
      </c>
      <c r="G9" s="1">
        <v>14.462</v>
      </c>
      <c r="H9" s="4">
        <v>14.409000000000001</v>
      </c>
      <c r="I9" s="1">
        <v>14.617000000000001</v>
      </c>
      <c r="J9" s="2">
        <f t="shared" si="0"/>
        <v>1.0229547204143048</v>
      </c>
      <c r="K9" s="1" t="s">
        <v>60</v>
      </c>
      <c r="L9" s="1">
        <v>1800.56270051002</v>
      </c>
      <c r="M9" s="1">
        <v>0.53486585617065396</v>
      </c>
      <c r="N9" s="1">
        <v>1800.4954755306201</v>
      </c>
      <c r="O9">
        <v>4986</v>
      </c>
      <c r="P9">
        <v>5144</v>
      </c>
    </row>
    <row r="10" spans="1:16" ht="15">
      <c r="B10">
        <v>0.8</v>
      </c>
      <c r="C10">
        <v>2</v>
      </c>
      <c r="D10" s="3">
        <v>33</v>
      </c>
      <c r="E10" s="1">
        <v>13.696999999999999</v>
      </c>
      <c r="F10" s="1">
        <v>13.696999999999999</v>
      </c>
      <c r="G10" s="1">
        <v>13.696999999999999</v>
      </c>
      <c r="H10" s="1">
        <v>13.696999999999999</v>
      </c>
      <c r="I10" s="1">
        <v>14.956</v>
      </c>
      <c r="J10" s="2">
        <f t="shared" si="0"/>
        <v>1.09191793823465</v>
      </c>
      <c r="K10" s="1">
        <v>235.04673528671199</v>
      </c>
      <c r="L10" s="1">
        <v>446.006131887435</v>
      </c>
      <c r="M10" s="1">
        <v>0.78238344192504805</v>
      </c>
      <c r="N10" s="1">
        <v>177.59777522087001</v>
      </c>
      <c r="O10">
        <v>4119</v>
      </c>
      <c r="P10">
        <v>4227</v>
      </c>
    </row>
    <row r="11" spans="1:16" ht="15">
      <c r="A11">
        <v>8</v>
      </c>
      <c r="B11">
        <v>0.2</v>
      </c>
      <c r="C11">
        <v>0</v>
      </c>
      <c r="D11" s="3">
        <v>19</v>
      </c>
      <c r="E11" s="2" t="s">
        <v>60</v>
      </c>
      <c r="F11" s="4">
        <v>15.798999999999999</v>
      </c>
      <c r="G11" s="1">
        <v>16.056000000000001</v>
      </c>
      <c r="H11" s="4">
        <v>15.974</v>
      </c>
      <c r="I11" s="1">
        <v>16.184000000000001</v>
      </c>
      <c r="J11" s="2">
        <f t="shared" si="0"/>
        <v>1.0243686309260081</v>
      </c>
      <c r="K11" s="1" t="s">
        <v>60</v>
      </c>
      <c r="L11" s="1">
        <v>1800.8232684135401</v>
      </c>
      <c r="M11" s="1">
        <v>0.44027543067932101</v>
      </c>
      <c r="N11" s="1">
        <v>1800.9715104103</v>
      </c>
      <c r="O11">
        <v>2713</v>
      </c>
      <c r="P11">
        <v>2856</v>
      </c>
    </row>
    <row r="12" spans="1:16" ht="15">
      <c r="B12">
        <v>0.5</v>
      </c>
      <c r="C12">
        <v>0</v>
      </c>
      <c r="D12" s="3">
        <v>34</v>
      </c>
      <c r="E12" s="2" t="s">
        <v>60</v>
      </c>
      <c r="F12" s="4">
        <v>15.847</v>
      </c>
      <c r="G12" s="1">
        <v>16.763999999999999</v>
      </c>
      <c r="H12" s="4">
        <v>16.545000000000002</v>
      </c>
      <c r="I12" s="1">
        <v>17.561</v>
      </c>
      <c r="J12" s="2">
        <f t="shared" si="0"/>
        <v>1.1081592730485266</v>
      </c>
      <c r="K12" s="1" t="s">
        <v>60</v>
      </c>
      <c r="L12" s="1">
        <v>1800.9238047599699</v>
      </c>
      <c r="M12" s="1">
        <v>1.0022003650665201</v>
      </c>
      <c r="N12" s="1">
        <v>1800.4869067668899</v>
      </c>
      <c r="O12">
        <v>2267</v>
      </c>
      <c r="P12">
        <v>2612</v>
      </c>
    </row>
    <row r="13" spans="1:16" ht="15">
      <c r="B13">
        <v>0.8</v>
      </c>
      <c r="C13">
        <v>0</v>
      </c>
      <c r="D13" s="3">
        <v>146</v>
      </c>
      <c r="E13" s="2" t="s">
        <v>60</v>
      </c>
      <c r="F13" s="4">
        <v>15.666</v>
      </c>
      <c r="G13" s="1">
        <v>16.826000000000001</v>
      </c>
      <c r="H13" s="4">
        <v>16.606000000000002</v>
      </c>
      <c r="I13" s="1">
        <v>18.532</v>
      </c>
      <c r="J13" s="2">
        <f t="shared" si="0"/>
        <v>1.1829439550619174</v>
      </c>
      <c r="K13" s="1" t="s">
        <v>60</v>
      </c>
      <c r="L13" s="1">
        <v>1800.5120227336799</v>
      </c>
      <c r="M13" s="1">
        <v>0.72634291648864702</v>
      </c>
      <c r="N13" s="1">
        <v>1800.54651141166</v>
      </c>
      <c r="O13">
        <v>3033</v>
      </c>
      <c r="P13">
        <v>4072</v>
      </c>
    </row>
    <row r="14" spans="1:16" ht="15">
      <c r="A14">
        <v>10</v>
      </c>
      <c r="B14">
        <v>0.2</v>
      </c>
      <c r="C14">
        <v>0</v>
      </c>
      <c r="D14" s="3">
        <v>19</v>
      </c>
      <c r="E14" s="2" t="s">
        <v>60</v>
      </c>
      <c r="F14" s="4">
        <v>16.669</v>
      </c>
      <c r="G14" s="1">
        <v>17.388000000000002</v>
      </c>
      <c r="H14" s="4">
        <v>17.283000000000001</v>
      </c>
      <c r="I14" s="1">
        <v>17.510999999999999</v>
      </c>
      <c r="J14" s="2">
        <f t="shared" si="0"/>
        <v>1.0505129281900534</v>
      </c>
      <c r="K14" s="1" t="s">
        <v>60</v>
      </c>
      <c r="L14" s="1">
        <v>1800.4745655059801</v>
      </c>
      <c r="M14" s="1">
        <v>0.69369721412658603</v>
      </c>
      <c r="N14" s="1">
        <v>1800.4081411361601</v>
      </c>
      <c r="O14">
        <v>1559</v>
      </c>
      <c r="P14">
        <v>1749</v>
      </c>
    </row>
    <row r="15" spans="1:16" ht="15">
      <c r="B15">
        <v>0.5</v>
      </c>
      <c r="C15">
        <v>0</v>
      </c>
      <c r="D15" s="3">
        <v>49</v>
      </c>
      <c r="E15" s="2" t="s">
        <v>60</v>
      </c>
      <c r="F15" s="4">
        <v>16.946999999999999</v>
      </c>
      <c r="G15" s="1">
        <v>18.722000000000001</v>
      </c>
      <c r="H15" s="4">
        <v>18.308</v>
      </c>
      <c r="I15" s="1">
        <v>20.274999999999999</v>
      </c>
      <c r="J15" s="2">
        <f t="shared" si="0"/>
        <v>1.1963769398713637</v>
      </c>
      <c r="K15" s="1" t="s">
        <v>60</v>
      </c>
      <c r="L15" s="1">
        <v>1800.7032852172799</v>
      </c>
      <c r="M15" s="1">
        <v>6.0335013866424498</v>
      </c>
      <c r="N15" s="1">
        <v>1800.62827396392</v>
      </c>
      <c r="O15">
        <v>1564</v>
      </c>
      <c r="P15">
        <v>2377</v>
      </c>
    </row>
    <row r="16" spans="1:16" ht="15">
      <c r="B16">
        <v>0.8</v>
      </c>
      <c r="C16">
        <v>0</v>
      </c>
      <c r="D16" s="3">
        <v>156</v>
      </c>
      <c r="E16" s="2" t="s">
        <v>60</v>
      </c>
      <c r="F16" s="4">
        <v>16.347999999999999</v>
      </c>
      <c r="G16" s="1">
        <v>18.645</v>
      </c>
      <c r="H16" s="4">
        <v>17.989999999999998</v>
      </c>
      <c r="I16" s="1">
        <v>20.331</v>
      </c>
      <c r="J16" s="2">
        <f t="shared" si="0"/>
        <v>1.2436383655493026</v>
      </c>
      <c r="K16" s="1" t="s">
        <v>60</v>
      </c>
      <c r="L16" s="1">
        <v>1800.53633356094</v>
      </c>
      <c r="M16" s="1">
        <v>1.085866689682</v>
      </c>
      <c r="N16" s="1">
        <v>1800.8339514732299</v>
      </c>
      <c r="O16">
        <v>1775</v>
      </c>
      <c r="P16">
        <v>3841</v>
      </c>
    </row>
    <row r="17" spans="1:16" ht="15">
      <c r="A17">
        <v>15</v>
      </c>
      <c r="B17">
        <v>0.2</v>
      </c>
      <c r="C17">
        <v>0</v>
      </c>
      <c r="D17" s="3">
        <v>18</v>
      </c>
      <c r="E17" s="2" t="s">
        <v>60</v>
      </c>
      <c r="F17" s="4">
        <v>19.779</v>
      </c>
      <c r="G17" s="1">
        <v>21.655000000000001</v>
      </c>
      <c r="H17" s="4">
        <v>21.515999999999998</v>
      </c>
      <c r="I17" s="1">
        <v>21.841000000000001</v>
      </c>
      <c r="J17" s="2">
        <f t="shared" si="0"/>
        <v>1.1042519844279286</v>
      </c>
      <c r="K17" s="1" t="s">
        <v>60</v>
      </c>
      <c r="L17" s="1">
        <v>1800.5441567897701</v>
      </c>
      <c r="M17" s="1">
        <v>22.314023256301802</v>
      </c>
      <c r="N17" s="1">
        <v>1800.4426102638199</v>
      </c>
      <c r="O17">
        <v>1608</v>
      </c>
      <c r="P17">
        <v>1831</v>
      </c>
    </row>
    <row r="18" spans="1:16" ht="15">
      <c r="B18">
        <v>0.5</v>
      </c>
      <c r="C18">
        <v>0</v>
      </c>
      <c r="D18" s="3">
        <v>39</v>
      </c>
      <c r="E18" s="2" t="s">
        <v>60</v>
      </c>
      <c r="F18" s="4">
        <v>16.488</v>
      </c>
      <c r="G18" s="1">
        <v>20.260000000000002</v>
      </c>
      <c r="H18" s="4">
        <v>19.818000000000001</v>
      </c>
      <c r="I18" s="1">
        <v>23.039000000000001</v>
      </c>
      <c r="J18" s="2">
        <f t="shared" si="0"/>
        <v>1.397319262493935</v>
      </c>
      <c r="K18" s="1" t="s">
        <v>60</v>
      </c>
      <c r="L18" s="1">
        <v>1800.3064820766399</v>
      </c>
      <c r="M18" s="1">
        <v>21.6741316318512</v>
      </c>
      <c r="N18" s="1">
        <v>1800.26894927024</v>
      </c>
      <c r="O18">
        <v>1651</v>
      </c>
      <c r="P18">
        <v>2302</v>
      </c>
    </row>
    <row r="19" spans="1:16" ht="15">
      <c r="B19">
        <v>0.8</v>
      </c>
      <c r="C19">
        <v>0</v>
      </c>
      <c r="D19" s="3">
        <v>37</v>
      </c>
      <c r="E19" s="2" t="s">
        <v>60</v>
      </c>
      <c r="F19" s="4">
        <v>16.815999999999999</v>
      </c>
      <c r="G19" s="1">
        <v>20.233000000000001</v>
      </c>
      <c r="H19" s="4">
        <v>19.766999999999999</v>
      </c>
      <c r="I19" s="1">
        <v>22.968</v>
      </c>
      <c r="J19" s="2">
        <f t="shared" si="0"/>
        <v>1.3658420551855377</v>
      </c>
      <c r="K19" s="1" t="s">
        <v>60</v>
      </c>
      <c r="L19" s="1">
        <v>1800.32688164711</v>
      </c>
      <c r="M19" s="1">
        <v>21.361758947372401</v>
      </c>
      <c r="N19" s="1">
        <v>1800.4257228374399</v>
      </c>
      <c r="O19">
        <v>1633</v>
      </c>
      <c r="P19">
        <v>2362</v>
      </c>
    </row>
    <row r="20" spans="1:16" ht="15">
      <c r="A20">
        <v>20</v>
      </c>
      <c r="B20">
        <v>0.2</v>
      </c>
      <c r="C20">
        <v>0</v>
      </c>
      <c r="D20" s="3">
        <v>11</v>
      </c>
      <c r="E20" s="2" t="s">
        <v>60</v>
      </c>
      <c r="F20" s="4">
        <v>20.942</v>
      </c>
      <c r="G20" s="1">
        <v>24.077999999999999</v>
      </c>
      <c r="H20" s="4">
        <v>23.963999999999999</v>
      </c>
      <c r="I20" s="1">
        <v>24.495999999999999</v>
      </c>
      <c r="J20" s="2">
        <f t="shared" si="0"/>
        <v>1.1697068092827809</v>
      </c>
      <c r="K20" s="1" t="s">
        <v>60</v>
      </c>
      <c r="L20" s="1">
        <v>1800.6397435665101</v>
      </c>
      <c r="M20" s="1">
        <v>4.4042539596557599</v>
      </c>
      <c r="N20" s="1">
        <v>1800.3911726474701</v>
      </c>
      <c r="O20">
        <v>120</v>
      </c>
      <c r="P20">
        <v>340</v>
      </c>
    </row>
    <row r="21" spans="1:16" ht="15">
      <c r="B21">
        <v>0.5</v>
      </c>
      <c r="C21">
        <v>0</v>
      </c>
      <c r="D21">
        <v>0</v>
      </c>
      <c r="E21" s="2" t="s">
        <v>60</v>
      </c>
      <c r="F21" s="2" t="s">
        <v>60</v>
      </c>
      <c r="G21" s="4">
        <v>21.774999999999999</v>
      </c>
      <c r="H21" s="1">
        <v>22.007999999999999</v>
      </c>
      <c r="I21" s="1">
        <v>24.710999999999999</v>
      </c>
      <c r="J21" s="2" t="s">
        <v>60</v>
      </c>
      <c r="K21" s="1" t="s">
        <v>60</v>
      </c>
      <c r="L21" s="1">
        <v>1800.2484743595101</v>
      </c>
      <c r="M21" s="1" t="s">
        <v>60</v>
      </c>
      <c r="N21" s="1">
        <v>1800.22936081886</v>
      </c>
      <c r="O21">
        <v>160</v>
      </c>
      <c r="P21">
        <v>240</v>
      </c>
    </row>
    <row r="22" spans="1:16" ht="15">
      <c r="B22">
        <v>0.8</v>
      </c>
      <c r="C22">
        <v>0</v>
      </c>
      <c r="D22" s="3">
        <v>13</v>
      </c>
      <c r="E22" s="2" t="s">
        <v>60</v>
      </c>
      <c r="F22" s="4">
        <v>17.114000000000001</v>
      </c>
      <c r="G22" s="4">
        <v>22.690999999999999</v>
      </c>
      <c r="H22" s="1">
        <v>23.099</v>
      </c>
      <c r="I22" s="1">
        <v>25.532</v>
      </c>
      <c r="J22" s="2">
        <f t="shared" si="0"/>
        <v>1.4918779946242842</v>
      </c>
      <c r="K22" s="1" t="s">
        <v>60</v>
      </c>
      <c r="L22" s="1">
        <v>1800.2258458137501</v>
      </c>
      <c r="M22" s="1">
        <v>3.7015523910522399</v>
      </c>
      <c r="N22" s="1">
        <v>1800.25274610519</v>
      </c>
      <c r="O22">
        <v>200</v>
      </c>
      <c r="P22">
        <v>352</v>
      </c>
    </row>
    <row r="23" spans="1:16" ht="15">
      <c r="A23">
        <v>25</v>
      </c>
      <c r="B23">
        <v>0.2</v>
      </c>
      <c r="C23">
        <v>0</v>
      </c>
      <c r="D23" s="3">
        <v>7</v>
      </c>
      <c r="E23" s="2" t="s">
        <v>60</v>
      </c>
      <c r="F23" s="4">
        <v>20.699000000000002</v>
      </c>
      <c r="G23" s="4">
        <v>25.919999963817499</v>
      </c>
      <c r="H23" s="1">
        <v>26.437999999999999</v>
      </c>
      <c r="I23" s="1">
        <v>26.221</v>
      </c>
      <c r="J23" s="2">
        <f t="shared" si="0"/>
        <v>1.2667761727619691</v>
      </c>
      <c r="K23" s="1" t="s">
        <v>60</v>
      </c>
      <c r="L23" s="1">
        <v>1800.3088924884701</v>
      </c>
      <c r="M23" s="1">
        <v>10.085875034332201</v>
      </c>
      <c r="N23" s="1">
        <v>1800.35611033439</v>
      </c>
      <c r="O23">
        <v>150</v>
      </c>
      <c r="P23">
        <v>360</v>
      </c>
    </row>
    <row r="24" spans="1:16" ht="15">
      <c r="B24">
        <v>0.5</v>
      </c>
      <c r="C24">
        <v>0</v>
      </c>
      <c r="D24">
        <v>0</v>
      </c>
      <c r="E24" s="2" t="s">
        <v>60</v>
      </c>
      <c r="F24" s="2" t="s">
        <v>60</v>
      </c>
      <c r="G24" s="4">
        <v>24.670999999999999</v>
      </c>
      <c r="H24" s="1">
        <v>24.902999999999999</v>
      </c>
      <c r="I24" s="1">
        <v>25.693999999999999</v>
      </c>
      <c r="J24" s="2" t="s">
        <v>60</v>
      </c>
      <c r="K24" s="1" t="s">
        <v>60</v>
      </c>
      <c r="L24" s="1">
        <v>1800.30874705314</v>
      </c>
      <c r="M24" s="1" t="s">
        <v>60</v>
      </c>
      <c r="N24" s="1">
        <v>1800.5989863872501</v>
      </c>
      <c r="O24">
        <v>175</v>
      </c>
      <c r="P24">
        <v>250</v>
      </c>
    </row>
    <row r="25" spans="1:16" ht="15">
      <c r="B25">
        <v>0.8</v>
      </c>
      <c r="C25">
        <v>0</v>
      </c>
      <c r="D25">
        <v>0</v>
      </c>
      <c r="E25" s="2" t="s">
        <v>60</v>
      </c>
      <c r="F25" s="2" t="s">
        <v>60</v>
      </c>
      <c r="G25" s="1">
        <v>25.536000000000001</v>
      </c>
      <c r="H25" s="4">
        <v>25.41</v>
      </c>
      <c r="I25" s="1">
        <v>26.419</v>
      </c>
      <c r="J25" s="2" t="s">
        <v>60</v>
      </c>
      <c r="K25" s="1" t="s">
        <v>60</v>
      </c>
      <c r="L25" s="1">
        <v>1800.3497982025101</v>
      </c>
      <c r="M25" s="1" t="s">
        <v>60</v>
      </c>
      <c r="N25" s="1">
        <v>1800.4528150558399</v>
      </c>
      <c r="O25">
        <v>175</v>
      </c>
      <c r="P25">
        <v>250</v>
      </c>
    </row>
    <row r="26" spans="1:16" ht="15">
      <c r="A26">
        <v>30</v>
      </c>
      <c r="B26">
        <v>0.2</v>
      </c>
      <c r="C26">
        <v>0</v>
      </c>
      <c r="D26" s="3">
        <v>2</v>
      </c>
      <c r="E26" s="2" t="s">
        <v>60</v>
      </c>
      <c r="F26" s="4">
        <v>20.486000000000001</v>
      </c>
      <c r="G26" s="4">
        <v>29.329000000000001</v>
      </c>
      <c r="H26" s="1">
        <v>40.835000000000001</v>
      </c>
      <c r="I26" s="1">
        <v>27.748999999999999</v>
      </c>
      <c r="J26" s="2">
        <f t="shared" si="0"/>
        <v>1.3545348042565653</v>
      </c>
      <c r="K26" s="1" t="s">
        <v>60</v>
      </c>
      <c r="L26" s="1">
        <v>1800.4853708743999</v>
      </c>
      <c r="M26" s="1">
        <v>14.469929218292201</v>
      </c>
      <c r="N26" s="1">
        <v>1800.8496825694999</v>
      </c>
      <c r="O26">
        <v>150</v>
      </c>
      <c r="P26">
        <v>526</v>
      </c>
    </row>
    <row r="27" spans="1:16" ht="15">
      <c r="B27">
        <v>0.5</v>
      </c>
      <c r="C27">
        <v>0</v>
      </c>
      <c r="D27" s="3">
        <v>11</v>
      </c>
      <c r="E27" s="2" t="s">
        <v>60</v>
      </c>
      <c r="F27" s="4">
        <v>16.274999999999999</v>
      </c>
      <c r="G27" s="4">
        <v>27.512</v>
      </c>
      <c r="H27" s="1">
        <v>32.988</v>
      </c>
      <c r="I27" s="1">
        <v>27.259</v>
      </c>
      <c r="J27" s="2">
        <f t="shared" si="0"/>
        <v>1.6749001536098311</v>
      </c>
      <c r="K27" s="1" t="s">
        <v>60</v>
      </c>
      <c r="L27" s="1">
        <v>1800.48787903785</v>
      </c>
      <c r="M27" s="1">
        <v>8.7296855449676496</v>
      </c>
      <c r="N27" s="1">
        <v>1806.85306239128</v>
      </c>
      <c r="O27">
        <v>180</v>
      </c>
      <c r="P27">
        <v>719</v>
      </c>
    </row>
    <row r="28" spans="1:16" ht="15">
      <c r="B28">
        <v>0.8</v>
      </c>
      <c r="C28">
        <v>0</v>
      </c>
      <c r="D28" s="3">
        <v>18</v>
      </c>
      <c r="E28" s="2" t="s">
        <v>60</v>
      </c>
      <c r="F28" s="4">
        <v>15.786</v>
      </c>
      <c r="G28" s="4">
        <v>27.855</v>
      </c>
      <c r="H28" s="5">
        <v>30.388999999999999</v>
      </c>
      <c r="I28" s="1">
        <v>27.571000000000002</v>
      </c>
      <c r="J28" s="2">
        <f t="shared" si="0"/>
        <v>1.7465475737995695</v>
      </c>
      <c r="K28" s="1" t="s">
        <v>60</v>
      </c>
      <c r="L28" s="1">
        <v>1800.35706496238</v>
      </c>
      <c r="M28" s="1">
        <v>5.5549716949462802</v>
      </c>
      <c r="N28" s="1">
        <v>1801.50714159011</v>
      </c>
      <c r="O28">
        <v>210</v>
      </c>
      <c r="P28">
        <v>891</v>
      </c>
    </row>
    <row r="29" spans="1:16">
      <c r="C29">
        <f>SUM(C2:C28)</f>
        <v>12</v>
      </c>
      <c r="D29">
        <f>SUM(D2:D28)</f>
        <v>675</v>
      </c>
      <c r="J29" s="2">
        <f>AVERAGE(J2:J18,J20,J22:J23,J27:J28)</f>
        <v>1.1751240928593345</v>
      </c>
      <c r="O29" s="1">
        <f>AVERAGE(O2:O28)</f>
        <v>2180.8518518518517</v>
      </c>
      <c r="P29" s="1">
        <f>AVERAGE(P2:P28)</f>
        <v>2516.4444444444443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9F46-4658-44C5-BF59-3120933D1691}">
  <dimension ref="A1:L29"/>
  <sheetViews>
    <sheetView workbookViewId="0">
      <selection activeCell="I28" sqref="I28"/>
    </sheetView>
  </sheetViews>
  <sheetFormatPr defaultRowHeight="14.25"/>
  <cols>
    <col min="9" max="10" width="9.375" bestFit="1" customWidth="1"/>
  </cols>
  <sheetData>
    <row r="1" spans="1:12">
      <c r="A1" t="s">
        <v>1</v>
      </c>
      <c r="B1" t="s">
        <v>3</v>
      </c>
      <c r="C1" t="s">
        <v>24</v>
      </c>
      <c r="D1" t="s">
        <v>25</v>
      </c>
      <c r="E1" t="s">
        <v>9</v>
      </c>
      <c r="F1" t="s">
        <v>59</v>
      </c>
      <c r="G1" t="s">
        <v>8</v>
      </c>
      <c r="H1" t="s">
        <v>11</v>
      </c>
      <c r="I1" t="s">
        <v>26</v>
      </c>
      <c r="J1" t="s">
        <v>27</v>
      </c>
      <c r="K1" t="s">
        <v>28</v>
      </c>
      <c r="L1" t="s">
        <v>29</v>
      </c>
    </row>
    <row r="2" spans="1:12">
      <c r="A2">
        <v>2</v>
      </c>
      <c r="B2">
        <v>0.2</v>
      </c>
      <c r="C2" s="1">
        <v>4.6849999999999996</v>
      </c>
      <c r="D2" s="1">
        <v>4.6849999999999996</v>
      </c>
      <c r="E2" s="1">
        <v>4.7160000000000002</v>
      </c>
      <c r="F2" s="2">
        <f>E2/MAX(C2,D2)</f>
        <v>1.0066168623265743</v>
      </c>
      <c r="G2" s="1">
        <v>4.6849999999999996</v>
      </c>
      <c r="H2" s="1">
        <v>4.6849999999999996</v>
      </c>
      <c r="I2" s="1">
        <v>2.7424573898315398E-2</v>
      </c>
      <c r="J2" s="1">
        <v>6.2273025512695299E-2</v>
      </c>
      <c r="K2">
        <v>3</v>
      </c>
      <c r="L2">
        <v>2</v>
      </c>
    </row>
    <row r="3" spans="1:12">
      <c r="B3">
        <v>0.5</v>
      </c>
      <c r="C3" s="1">
        <v>7.7569999999999997</v>
      </c>
      <c r="D3" s="1">
        <v>7.75</v>
      </c>
      <c r="E3" s="1">
        <v>7.8090000000000002</v>
      </c>
      <c r="F3" s="2">
        <f t="shared" ref="F3:F20" si="0">E3/MAX(C3,D3)</f>
        <v>1.006703622534485</v>
      </c>
      <c r="G3" s="1">
        <v>7.7569999999999997</v>
      </c>
      <c r="H3" s="1">
        <v>7.7569999999999997</v>
      </c>
      <c r="I3" s="1">
        <v>2.4047613143920898E-2</v>
      </c>
      <c r="J3" s="1">
        <v>0.14547634124755801</v>
      </c>
      <c r="K3">
        <v>3</v>
      </c>
      <c r="L3">
        <v>2</v>
      </c>
    </row>
    <row r="4" spans="1:12">
      <c r="B4">
        <v>0.8</v>
      </c>
      <c r="C4" s="1">
        <v>8.3559999999999999</v>
      </c>
      <c r="D4" s="1">
        <v>8.3550000000000004</v>
      </c>
      <c r="E4" s="1">
        <v>8.4250000000000007</v>
      </c>
      <c r="F4" s="2">
        <f t="shared" si="0"/>
        <v>1.0082575394925803</v>
      </c>
      <c r="G4" s="1">
        <v>8.3559999999999999</v>
      </c>
      <c r="H4" s="1">
        <v>8.3559999999999999</v>
      </c>
      <c r="I4" s="1">
        <v>8.6012840270996094E-2</v>
      </c>
      <c r="J4" s="1">
        <v>0.12660384178161599</v>
      </c>
      <c r="K4">
        <v>3</v>
      </c>
      <c r="L4">
        <v>2</v>
      </c>
    </row>
    <row r="5" spans="1:12">
      <c r="A5">
        <v>3</v>
      </c>
      <c r="B5">
        <v>0.2</v>
      </c>
      <c r="C5" s="1">
        <v>7.1340000000000003</v>
      </c>
      <c r="D5" s="1">
        <v>7.1340000000000003</v>
      </c>
      <c r="E5" s="1">
        <v>7.218</v>
      </c>
      <c r="F5" s="2">
        <f t="shared" si="0"/>
        <v>1.0117746005046258</v>
      </c>
      <c r="G5" s="1">
        <v>7.1340000000000003</v>
      </c>
      <c r="H5" s="1">
        <v>7.1340000000000003</v>
      </c>
      <c r="I5" s="1">
        <v>4.0430307388305602E-2</v>
      </c>
      <c r="J5" s="1">
        <v>0.329338788986206</v>
      </c>
      <c r="K5">
        <v>4</v>
      </c>
      <c r="L5">
        <v>3</v>
      </c>
    </row>
    <row r="6" spans="1:12">
      <c r="B6">
        <v>0.5</v>
      </c>
      <c r="C6" s="1">
        <v>10.266</v>
      </c>
      <c r="D6" s="1">
        <v>10.295</v>
      </c>
      <c r="E6" s="1">
        <v>10.407</v>
      </c>
      <c r="F6" s="2">
        <f t="shared" si="0"/>
        <v>1.0108790675084993</v>
      </c>
      <c r="G6" s="1">
        <v>10.295</v>
      </c>
      <c r="H6" s="1">
        <v>10.295</v>
      </c>
      <c r="I6" s="1">
        <v>9.6788883209228502E-2</v>
      </c>
      <c r="J6" s="1">
        <v>0.33587288856506298</v>
      </c>
      <c r="K6">
        <v>4</v>
      </c>
      <c r="L6">
        <v>2</v>
      </c>
    </row>
    <row r="7" spans="1:12">
      <c r="B7">
        <v>0.8</v>
      </c>
      <c r="C7" s="1">
        <v>11.458</v>
      </c>
      <c r="D7" s="1">
        <v>11.555</v>
      </c>
      <c r="E7" s="1">
        <v>11.833</v>
      </c>
      <c r="F7" s="2">
        <f t="shared" si="0"/>
        <v>1.0240588489831242</v>
      </c>
      <c r="G7" s="1">
        <v>11.555</v>
      </c>
      <c r="H7" s="1">
        <v>11.555</v>
      </c>
      <c r="I7" s="1">
        <v>7.5382947921752902E-2</v>
      </c>
      <c r="J7" s="1">
        <v>6.7946672439575195E-2</v>
      </c>
      <c r="K7">
        <v>5</v>
      </c>
      <c r="L7">
        <v>3</v>
      </c>
    </row>
    <row r="8" spans="1:12">
      <c r="A8">
        <v>5</v>
      </c>
      <c r="B8">
        <v>0.2</v>
      </c>
      <c r="C8" s="1">
        <v>10.125999999999999</v>
      </c>
      <c r="D8" s="1">
        <v>10.119</v>
      </c>
      <c r="E8" s="1">
        <v>10.382</v>
      </c>
      <c r="F8" s="2">
        <f t="shared" si="0"/>
        <v>1.0252814536835868</v>
      </c>
      <c r="G8" s="5">
        <v>10.257</v>
      </c>
      <c r="H8" s="5">
        <v>10.257</v>
      </c>
      <c r="I8" s="1">
        <v>6.4337491989135701E-2</v>
      </c>
      <c r="J8" s="1">
        <v>0.65602278709411599</v>
      </c>
      <c r="K8">
        <v>3</v>
      </c>
      <c r="L8">
        <v>3</v>
      </c>
    </row>
    <row r="9" spans="1:12">
      <c r="B9">
        <v>0.5</v>
      </c>
      <c r="C9" s="1">
        <v>14.22</v>
      </c>
      <c r="D9" s="1">
        <v>14.131</v>
      </c>
      <c r="E9" s="1">
        <v>14.617000000000001</v>
      </c>
      <c r="F9" s="2">
        <f t="shared" si="0"/>
        <v>1.0279184247538677</v>
      </c>
      <c r="G9" s="5">
        <v>14.289</v>
      </c>
      <c r="H9" s="5">
        <v>14.409000000000001</v>
      </c>
      <c r="I9" s="1">
        <v>0.49642539024353</v>
      </c>
      <c r="J9" s="1">
        <v>1.5590636730194001</v>
      </c>
      <c r="K9">
        <v>4</v>
      </c>
      <c r="L9">
        <v>3</v>
      </c>
    </row>
    <row r="10" spans="1:12">
      <c r="B10">
        <v>0.8</v>
      </c>
      <c r="C10" s="1">
        <v>13.619</v>
      </c>
      <c r="D10" s="1">
        <v>13.654999999999999</v>
      </c>
      <c r="E10" s="1">
        <v>14.956</v>
      </c>
      <c r="F10" s="2">
        <f t="shared" si="0"/>
        <v>1.0952764555108019</v>
      </c>
      <c r="G10" s="5">
        <v>13.696999999999999</v>
      </c>
      <c r="H10" s="5">
        <v>13.696999999999999</v>
      </c>
      <c r="I10" s="1">
        <v>0.31998896598815901</v>
      </c>
      <c r="J10" s="1">
        <v>0.44040632247924799</v>
      </c>
      <c r="K10">
        <v>4</v>
      </c>
      <c r="L10">
        <v>3</v>
      </c>
    </row>
    <row r="11" spans="1:12">
      <c r="A11">
        <v>8</v>
      </c>
      <c r="B11">
        <v>0.2</v>
      </c>
      <c r="C11" s="1">
        <v>15.646000000000001</v>
      </c>
      <c r="D11" s="1">
        <v>15.585000000000001</v>
      </c>
      <c r="E11" s="1">
        <v>16.184000000000001</v>
      </c>
      <c r="F11" s="2">
        <f t="shared" si="0"/>
        <v>1.0343857855042822</v>
      </c>
      <c r="G11" s="5">
        <v>15.798999999999999</v>
      </c>
      <c r="H11" s="5">
        <v>15.974</v>
      </c>
      <c r="I11" s="1">
        <v>0.116026878356933</v>
      </c>
      <c r="J11" s="1">
        <v>11.378528356552099</v>
      </c>
      <c r="K11">
        <v>4</v>
      </c>
      <c r="L11">
        <v>3</v>
      </c>
    </row>
    <row r="12" spans="1:12">
      <c r="B12">
        <v>0.5</v>
      </c>
      <c r="C12" s="1">
        <v>15.622</v>
      </c>
      <c r="D12" s="1">
        <v>15.646000000000001</v>
      </c>
      <c r="E12" s="1">
        <v>17.561</v>
      </c>
      <c r="F12" s="2">
        <f t="shared" si="0"/>
        <v>1.1223955004473987</v>
      </c>
      <c r="G12" s="5">
        <v>15.847</v>
      </c>
      <c r="H12" s="5">
        <v>16.545000000000002</v>
      </c>
      <c r="I12" s="1">
        <v>0.51584243774413996</v>
      </c>
      <c r="J12" s="1">
        <v>1.8921539783477701</v>
      </c>
      <c r="K12">
        <v>6</v>
      </c>
      <c r="L12">
        <v>4</v>
      </c>
    </row>
    <row r="13" spans="1:12">
      <c r="B13">
        <v>0.8</v>
      </c>
      <c r="C13" s="1">
        <v>15.553000000000001</v>
      </c>
      <c r="D13" s="1">
        <v>15.481</v>
      </c>
      <c r="E13" s="1">
        <v>18.532</v>
      </c>
      <c r="F13" s="2">
        <f t="shared" si="0"/>
        <v>1.1915386099144858</v>
      </c>
      <c r="G13" s="5">
        <v>15.666</v>
      </c>
      <c r="H13" s="5">
        <v>16.606000000000002</v>
      </c>
      <c r="I13" s="1">
        <v>0.23774266242980899</v>
      </c>
      <c r="J13" s="1">
        <v>1.3359415531158401</v>
      </c>
      <c r="K13">
        <v>5</v>
      </c>
      <c r="L13">
        <v>4</v>
      </c>
    </row>
    <row r="14" spans="1:12">
      <c r="A14">
        <v>10</v>
      </c>
      <c r="B14">
        <v>0.2</v>
      </c>
      <c r="C14" s="1">
        <v>16.295000000000002</v>
      </c>
      <c r="D14" s="1">
        <v>16.361999999999998</v>
      </c>
      <c r="E14" s="1">
        <v>17.510999999999999</v>
      </c>
      <c r="F14" s="2">
        <f t="shared" si="0"/>
        <v>1.0702236890355703</v>
      </c>
      <c r="G14" s="5">
        <v>16.669</v>
      </c>
      <c r="H14" s="5">
        <v>17.283000000000001</v>
      </c>
      <c r="I14" s="1">
        <v>6.1013221740722601E-2</v>
      </c>
      <c r="J14" s="1">
        <v>13.070255517959501</v>
      </c>
      <c r="K14">
        <v>6</v>
      </c>
      <c r="L14">
        <v>10</v>
      </c>
    </row>
    <row r="15" spans="1:12">
      <c r="B15">
        <v>0.5</v>
      </c>
      <c r="C15" s="1">
        <v>16.677</v>
      </c>
      <c r="D15" s="1">
        <v>16.724</v>
      </c>
      <c r="E15" s="1">
        <v>20.274999999999999</v>
      </c>
      <c r="F15" s="2">
        <f t="shared" si="0"/>
        <v>1.2123295862233914</v>
      </c>
      <c r="G15" s="5">
        <v>16.946999999999999</v>
      </c>
      <c r="H15" s="5">
        <v>18.308</v>
      </c>
      <c r="I15" s="1">
        <v>6.1773123741149902</v>
      </c>
      <c r="J15" s="1">
        <v>16.354896068572899</v>
      </c>
      <c r="K15">
        <v>85</v>
      </c>
      <c r="L15">
        <v>126</v>
      </c>
    </row>
    <row r="16" spans="1:12">
      <c r="B16">
        <v>0.8</v>
      </c>
      <c r="C16" s="1">
        <v>16.059000000000001</v>
      </c>
      <c r="D16" s="1">
        <v>16.11</v>
      </c>
      <c r="E16" s="1">
        <v>20.331</v>
      </c>
      <c r="F16" s="2">
        <f t="shared" si="0"/>
        <v>1.2620111731843575</v>
      </c>
      <c r="G16" s="5">
        <v>16.347999999999999</v>
      </c>
      <c r="H16" s="5">
        <v>17.989999999999998</v>
      </c>
      <c r="I16" s="1">
        <v>0.26041126251220698</v>
      </c>
      <c r="J16" s="1">
        <v>4.5424807071685702</v>
      </c>
      <c r="K16">
        <v>6</v>
      </c>
      <c r="L16">
        <v>5</v>
      </c>
    </row>
    <row r="17" spans="1:12">
      <c r="A17">
        <v>15</v>
      </c>
      <c r="B17">
        <v>0.2</v>
      </c>
      <c r="C17" s="1">
        <v>19.577000000000002</v>
      </c>
      <c r="D17" s="1">
        <v>19.603999999999999</v>
      </c>
      <c r="E17" s="1">
        <v>21.841000000000001</v>
      </c>
      <c r="F17" s="2">
        <f t="shared" si="0"/>
        <v>1.1141093654356256</v>
      </c>
      <c r="G17" s="5">
        <v>19.779</v>
      </c>
      <c r="H17" s="5">
        <v>21.515999999999998</v>
      </c>
      <c r="I17" s="1">
        <v>0.49863886833190901</v>
      </c>
      <c r="J17" s="1">
        <v>224.154500961303</v>
      </c>
      <c r="K17">
        <v>8</v>
      </c>
      <c r="L17">
        <v>17</v>
      </c>
    </row>
    <row r="18" spans="1:12">
      <c r="B18">
        <v>0.5</v>
      </c>
      <c r="C18" s="1">
        <v>15.891</v>
      </c>
      <c r="D18" s="1">
        <v>16.056999999999999</v>
      </c>
      <c r="E18" s="1">
        <v>23.039000000000001</v>
      </c>
      <c r="F18" s="2">
        <f t="shared" si="0"/>
        <v>1.434825932615059</v>
      </c>
      <c r="G18" s="5">
        <v>16.488</v>
      </c>
      <c r="H18" s="5">
        <v>19.818000000000001</v>
      </c>
      <c r="I18" s="1">
        <v>0.388018608093261</v>
      </c>
      <c r="J18" s="1">
        <v>72.589966297149601</v>
      </c>
      <c r="K18">
        <v>10</v>
      </c>
      <c r="L18">
        <v>7</v>
      </c>
    </row>
    <row r="19" spans="1:12">
      <c r="B19">
        <v>0.8</v>
      </c>
      <c r="C19" s="1">
        <v>16.332000000000001</v>
      </c>
      <c r="D19" s="1">
        <v>16.427</v>
      </c>
      <c r="E19" s="1">
        <v>22.968</v>
      </c>
      <c r="F19" s="2">
        <f t="shared" si="0"/>
        <v>1.3981859134351982</v>
      </c>
      <c r="G19" s="5">
        <v>16.815999999999999</v>
      </c>
      <c r="H19" s="5">
        <v>19.766999999999999</v>
      </c>
      <c r="I19" s="1">
        <v>0.32161855697631803</v>
      </c>
      <c r="J19" s="1">
        <v>42.821866035461397</v>
      </c>
      <c r="K19">
        <v>9</v>
      </c>
      <c r="L19">
        <v>8</v>
      </c>
    </row>
    <row r="20" spans="1:12">
      <c r="A20">
        <v>20</v>
      </c>
      <c r="B20">
        <v>0.2</v>
      </c>
      <c r="C20" s="1">
        <v>20.498999999999999</v>
      </c>
      <c r="D20" s="1">
        <v>20.666</v>
      </c>
      <c r="E20" s="1">
        <v>24.495999999999999</v>
      </c>
      <c r="F20" s="2">
        <f t="shared" si="0"/>
        <v>1.1853285589857736</v>
      </c>
      <c r="G20" s="5">
        <v>20.942</v>
      </c>
      <c r="H20" s="5">
        <v>23.963999999999999</v>
      </c>
      <c r="I20" s="1">
        <v>4.2710864543914804</v>
      </c>
      <c r="J20" s="1">
        <v>304.67951726913401</v>
      </c>
      <c r="K20">
        <v>77</v>
      </c>
      <c r="L20">
        <v>54</v>
      </c>
    </row>
    <row r="21" spans="1:12">
      <c r="B21">
        <v>0.5</v>
      </c>
      <c r="C21" s="1" t="s">
        <v>60</v>
      </c>
      <c r="D21" s="1" t="s">
        <v>60</v>
      </c>
      <c r="E21" s="1">
        <v>24.710999999999999</v>
      </c>
      <c r="F21" s="2" t="s">
        <v>60</v>
      </c>
      <c r="G21" s="6" t="s">
        <v>60</v>
      </c>
      <c r="H21" s="5">
        <v>22.007999999999999</v>
      </c>
      <c r="I21" s="1">
        <v>6.4220006465911803</v>
      </c>
      <c r="J21" s="1">
        <v>308.47940659522999</v>
      </c>
      <c r="K21">
        <v>200</v>
      </c>
      <c r="L21">
        <v>200</v>
      </c>
    </row>
    <row r="22" spans="1:12">
      <c r="B22">
        <v>0.8</v>
      </c>
      <c r="C22" s="1">
        <v>16.806999999999999</v>
      </c>
      <c r="D22" s="1">
        <v>16.768000000000001</v>
      </c>
      <c r="E22" s="1">
        <v>25.532</v>
      </c>
      <c r="F22" s="2">
        <f t="shared" ref="F22:F23" si="1">E22/MAX(C22,D22)</f>
        <v>1.5191289343725829</v>
      </c>
      <c r="G22" s="5">
        <v>17.114000000000001</v>
      </c>
      <c r="H22" s="5">
        <v>23.099</v>
      </c>
      <c r="I22" s="1">
        <v>4.9544649124145499</v>
      </c>
      <c r="J22" s="1">
        <v>303.74563789367602</v>
      </c>
      <c r="K22">
        <v>131</v>
      </c>
      <c r="L22">
        <v>50</v>
      </c>
    </row>
    <row r="23" spans="1:12">
      <c r="A23">
        <v>25</v>
      </c>
      <c r="B23">
        <v>0.2</v>
      </c>
      <c r="C23" s="1">
        <v>20.617999999999999</v>
      </c>
      <c r="D23" s="1">
        <v>20.446999999999999</v>
      </c>
      <c r="E23" s="1">
        <v>26.221</v>
      </c>
      <c r="F23" s="2">
        <f t="shared" si="1"/>
        <v>1.2717528373266078</v>
      </c>
      <c r="G23" s="5">
        <v>20.699000000000002</v>
      </c>
      <c r="H23" s="5">
        <v>26.437999999999999</v>
      </c>
      <c r="I23" s="1">
        <v>15.0918877124786</v>
      </c>
      <c r="J23" s="1">
        <v>303.88431096076903</v>
      </c>
      <c r="K23">
        <v>196</v>
      </c>
      <c r="L23">
        <v>20</v>
      </c>
    </row>
    <row r="24" spans="1:12">
      <c r="B24">
        <v>0.5</v>
      </c>
      <c r="C24" s="1" t="s">
        <v>60</v>
      </c>
      <c r="D24" s="1" t="s">
        <v>60</v>
      </c>
      <c r="E24" s="1">
        <v>25.693999999999999</v>
      </c>
      <c r="F24" s="2" t="s">
        <v>60</v>
      </c>
      <c r="G24" s="6" t="s">
        <v>60</v>
      </c>
      <c r="H24" s="5">
        <v>24.902999999999999</v>
      </c>
      <c r="I24" s="1">
        <v>10.2198293209075</v>
      </c>
      <c r="J24" s="1">
        <v>312.97128081321699</v>
      </c>
      <c r="K24">
        <v>200</v>
      </c>
      <c r="L24">
        <v>200</v>
      </c>
    </row>
    <row r="25" spans="1:12">
      <c r="B25">
        <v>0.8</v>
      </c>
      <c r="C25" s="1" t="s">
        <v>60</v>
      </c>
      <c r="D25" s="1" t="s">
        <v>60</v>
      </c>
      <c r="E25" s="1">
        <v>26.419</v>
      </c>
      <c r="F25" s="2" t="s">
        <v>60</v>
      </c>
      <c r="G25" s="6" t="s">
        <v>60</v>
      </c>
      <c r="H25" s="5">
        <v>25.41</v>
      </c>
      <c r="I25" s="1">
        <v>11.502543926238999</v>
      </c>
      <c r="J25" s="1">
        <v>315.27010583877501</v>
      </c>
      <c r="K25">
        <v>200</v>
      </c>
      <c r="L25">
        <v>200</v>
      </c>
    </row>
    <row r="26" spans="1:12">
      <c r="A26">
        <v>30</v>
      </c>
      <c r="B26">
        <v>0.2</v>
      </c>
      <c r="C26" s="1">
        <v>20.558</v>
      </c>
      <c r="D26" s="1" t="s">
        <v>60</v>
      </c>
      <c r="E26" s="1">
        <v>27.748999999999999</v>
      </c>
      <c r="F26" s="2">
        <f t="shared" ref="F26:F28" si="2">E26/MAX(C26,D26)</f>
        <v>1.3497908356844051</v>
      </c>
      <c r="G26" s="5">
        <v>20.486000000000001</v>
      </c>
      <c r="H26" s="5">
        <v>40.835000000000001</v>
      </c>
      <c r="I26" s="1">
        <v>17.736356973648</v>
      </c>
      <c r="J26" s="1">
        <v>320.18260979652399</v>
      </c>
      <c r="K26">
        <v>196</v>
      </c>
      <c r="L26">
        <v>200</v>
      </c>
    </row>
    <row r="27" spans="1:12">
      <c r="B27">
        <v>0.5</v>
      </c>
      <c r="C27" s="1">
        <v>15.852</v>
      </c>
      <c r="D27" s="1">
        <v>15.683</v>
      </c>
      <c r="E27" s="1">
        <v>27.259</v>
      </c>
      <c r="F27" s="2">
        <f t="shared" si="2"/>
        <v>1.7195937421145597</v>
      </c>
      <c r="G27" s="5">
        <v>16.274999999999999</v>
      </c>
      <c r="H27" s="5">
        <v>32.988</v>
      </c>
      <c r="I27" s="1">
        <v>4.5925962924957204</v>
      </c>
      <c r="J27" s="1">
        <v>305.53571796417202</v>
      </c>
      <c r="K27">
        <v>74</v>
      </c>
      <c r="L27">
        <v>33</v>
      </c>
    </row>
    <row r="28" spans="1:12">
      <c r="B28">
        <v>0.8</v>
      </c>
      <c r="C28" s="1">
        <v>15.558</v>
      </c>
      <c r="D28" s="1" t="s">
        <v>60</v>
      </c>
      <c r="E28" s="1">
        <v>27.571000000000002</v>
      </c>
      <c r="F28" s="2">
        <f t="shared" si="2"/>
        <v>1.7721429489651628</v>
      </c>
      <c r="G28" s="5">
        <v>15.786</v>
      </c>
      <c r="H28" s="5">
        <v>30.388999999999999</v>
      </c>
      <c r="I28" s="1">
        <v>2.8837978839874201</v>
      </c>
      <c r="J28" s="1">
        <v>323.75194720000002</v>
      </c>
      <c r="K28">
        <v>78</v>
      </c>
      <c r="L28">
        <v>200</v>
      </c>
    </row>
    <row r="29" spans="1:12">
      <c r="C29" s="1">
        <f>AVERAGE(C2:C20,C22:C23,C27)</f>
        <v>14.047681818181816</v>
      </c>
      <c r="D29" s="1">
        <f t="shared" ref="D29:L29" si="3">AVERAGE(D2:D20,D22:D23,D27)</f>
        <v>14.056318181818177</v>
      </c>
      <c r="E29" s="1">
        <f t="shared" si="3"/>
        <v>16.914227272727274</v>
      </c>
      <c r="F29" s="2">
        <f t="shared" si="3"/>
        <v>1.1705716592678654</v>
      </c>
      <c r="G29" s="1">
        <f t="shared" si="3"/>
        <v>14.246090909090908</v>
      </c>
      <c r="H29" s="1">
        <f t="shared" si="3"/>
        <v>16.292772727272727</v>
      </c>
      <c r="I29" s="1">
        <f t="shared" si="3"/>
        <v>1.759886329824272</v>
      </c>
      <c r="J29" s="1">
        <f t="shared" si="3"/>
        <v>73.168580813841245</v>
      </c>
      <c r="K29" s="1">
        <f t="shared" si="3"/>
        <v>29.545454545454547</v>
      </c>
      <c r="L29" s="1">
        <f t="shared" si="3"/>
        <v>16.545454545454547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3BD7-6FA6-4117-AE78-28744BB2FCB4}">
  <dimension ref="A1:AE28"/>
  <sheetViews>
    <sheetView tabSelected="1" workbookViewId="0">
      <selection activeCell="E25" sqref="E25"/>
    </sheetView>
  </sheetViews>
  <sheetFormatPr defaultRowHeight="14.2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30</v>
      </c>
      <c r="B2" t="s">
        <v>38</v>
      </c>
      <c r="C2">
        <v>2</v>
      </c>
      <c r="D2">
        <v>100</v>
      </c>
      <c r="E2">
        <v>2</v>
      </c>
      <c r="F2" t="s">
        <v>32</v>
      </c>
      <c r="G2">
        <v>4685</v>
      </c>
      <c r="H2">
        <v>4685</v>
      </c>
      <c r="I2">
        <v>4685</v>
      </c>
      <c r="J2">
        <v>4685</v>
      </c>
      <c r="K2">
        <v>4716</v>
      </c>
      <c r="L2">
        <v>4685</v>
      </c>
      <c r="M2">
        <v>4685</v>
      </c>
      <c r="N2">
        <v>0.41858696937561002</v>
      </c>
      <c r="O2">
        <v>0.61936831474304199</v>
      </c>
      <c r="P2">
        <v>8.8427782058715806E-2</v>
      </c>
      <c r="Q2">
        <v>0.49005484580993602</v>
      </c>
      <c r="R2">
        <v>4075</v>
      </c>
      <c r="S2">
        <v>4085</v>
      </c>
      <c r="T2">
        <v>4075</v>
      </c>
      <c r="U2">
        <v>10</v>
      </c>
      <c r="V2">
        <v>1</v>
      </c>
      <c r="W2">
        <v>1</v>
      </c>
      <c r="X2">
        <v>2</v>
      </c>
      <c r="Y2">
        <v>2</v>
      </c>
      <c r="Z2">
        <v>4685</v>
      </c>
      <c r="AA2">
        <v>4685</v>
      </c>
      <c r="AB2">
        <v>2.7424573898315398E-2</v>
      </c>
      <c r="AC2">
        <v>6.2273025512695299E-2</v>
      </c>
      <c r="AD2">
        <v>3</v>
      </c>
      <c r="AE2">
        <v>2</v>
      </c>
    </row>
    <row r="3" spans="1:31">
      <c r="A3" t="s">
        <v>30</v>
      </c>
      <c r="B3" t="s">
        <v>39</v>
      </c>
      <c r="C3">
        <v>2</v>
      </c>
      <c r="D3">
        <v>100</v>
      </c>
      <c r="E3">
        <v>5</v>
      </c>
      <c r="F3" t="s">
        <v>32</v>
      </c>
      <c r="G3">
        <v>7748</v>
      </c>
      <c r="H3">
        <v>7757</v>
      </c>
      <c r="I3">
        <v>7747</v>
      </c>
      <c r="J3">
        <v>7757</v>
      </c>
      <c r="K3">
        <v>7809</v>
      </c>
      <c r="L3">
        <v>7757</v>
      </c>
      <c r="M3">
        <v>7757</v>
      </c>
      <c r="N3">
        <v>2.26875877380371</v>
      </c>
      <c r="O3">
        <v>3.27077913284301</v>
      </c>
      <c r="P3">
        <v>0.1319580078125</v>
      </c>
      <c r="Q3">
        <v>3.6899662017822199</v>
      </c>
      <c r="R3">
        <v>4159</v>
      </c>
      <c r="S3">
        <v>4196</v>
      </c>
      <c r="T3">
        <v>4158</v>
      </c>
      <c r="U3">
        <v>38</v>
      </c>
      <c r="V3">
        <v>3</v>
      </c>
      <c r="W3">
        <v>14</v>
      </c>
      <c r="X3">
        <v>2</v>
      </c>
      <c r="Y3">
        <v>2</v>
      </c>
      <c r="Z3">
        <v>7757</v>
      </c>
      <c r="AA3">
        <v>7750</v>
      </c>
      <c r="AB3">
        <v>2.4047613143920898E-2</v>
      </c>
      <c r="AC3">
        <v>0.14547634124755801</v>
      </c>
      <c r="AD3">
        <v>3</v>
      </c>
      <c r="AE3">
        <v>2</v>
      </c>
    </row>
    <row r="4" spans="1:31">
      <c r="A4" t="s">
        <v>30</v>
      </c>
      <c r="B4" t="s">
        <v>40</v>
      </c>
      <c r="C4">
        <v>2</v>
      </c>
      <c r="D4">
        <v>100</v>
      </c>
      <c r="E4">
        <v>8</v>
      </c>
      <c r="F4" t="s">
        <v>32</v>
      </c>
      <c r="G4">
        <v>8356</v>
      </c>
      <c r="H4">
        <v>8356</v>
      </c>
      <c r="I4">
        <v>8356</v>
      </c>
      <c r="J4">
        <v>8356</v>
      </c>
      <c r="K4">
        <v>8425</v>
      </c>
      <c r="L4">
        <v>8356</v>
      </c>
      <c r="M4">
        <v>8356</v>
      </c>
      <c r="N4">
        <v>0.61134386062622004</v>
      </c>
      <c r="O4">
        <v>0.79950356483459395</v>
      </c>
      <c r="P4">
        <v>9.9093675613403306E-2</v>
      </c>
      <c r="Q4">
        <v>0.89308524131774902</v>
      </c>
      <c r="R4">
        <v>3567</v>
      </c>
      <c r="S4">
        <v>3583</v>
      </c>
      <c r="T4">
        <v>3567</v>
      </c>
      <c r="U4">
        <v>16</v>
      </c>
      <c r="V4">
        <v>1</v>
      </c>
      <c r="W4">
        <v>2</v>
      </c>
      <c r="X4">
        <v>2</v>
      </c>
      <c r="Y4">
        <v>2</v>
      </c>
      <c r="Z4">
        <v>8356</v>
      </c>
      <c r="AA4">
        <v>8355</v>
      </c>
      <c r="AB4">
        <v>8.6012840270996094E-2</v>
      </c>
      <c r="AC4">
        <v>0.12660384178161599</v>
      </c>
      <c r="AD4">
        <v>3</v>
      </c>
      <c r="AE4">
        <v>2</v>
      </c>
    </row>
    <row r="5" spans="1:31">
      <c r="A5" t="s">
        <v>30</v>
      </c>
      <c r="B5" t="s">
        <v>47</v>
      </c>
      <c r="C5">
        <v>3</v>
      </c>
      <c r="D5">
        <v>100</v>
      </c>
      <c r="E5">
        <v>2</v>
      </c>
      <c r="F5" t="s">
        <v>32</v>
      </c>
      <c r="G5">
        <v>7134</v>
      </c>
      <c r="H5">
        <v>7134</v>
      </c>
      <c r="I5">
        <v>7134</v>
      </c>
      <c r="J5">
        <v>7134</v>
      </c>
      <c r="K5">
        <v>7218</v>
      </c>
      <c r="L5">
        <v>7134</v>
      </c>
      <c r="M5">
        <v>7134</v>
      </c>
      <c r="N5">
        <v>3.56724882125854</v>
      </c>
      <c r="O5">
        <v>3.8643319606781001</v>
      </c>
      <c r="P5">
        <v>0.117222309112548</v>
      </c>
      <c r="Q5">
        <v>1.8364677429199201</v>
      </c>
      <c r="R5">
        <v>4385</v>
      </c>
      <c r="S5">
        <v>4407</v>
      </c>
      <c r="T5">
        <v>4383</v>
      </c>
      <c r="U5">
        <v>24</v>
      </c>
      <c r="V5">
        <v>1</v>
      </c>
      <c r="W5">
        <v>3</v>
      </c>
      <c r="X5">
        <v>2</v>
      </c>
      <c r="Y5">
        <v>2</v>
      </c>
      <c r="Z5">
        <v>7134</v>
      </c>
      <c r="AA5">
        <v>7134</v>
      </c>
      <c r="AB5">
        <v>4.0430307388305602E-2</v>
      </c>
      <c r="AC5">
        <v>0.329338788986206</v>
      </c>
      <c r="AD5">
        <v>4</v>
      </c>
      <c r="AE5">
        <v>3</v>
      </c>
    </row>
    <row r="6" spans="1:31">
      <c r="A6" t="s">
        <v>30</v>
      </c>
      <c r="B6" t="s">
        <v>48</v>
      </c>
      <c r="C6">
        <v>3</v>
      </c>
      <c r="D6">
        <v>100</v>
      </c>
      <c r="E6">
        <v>5</v>
      </c>
      <c r="F6" t="s">
        <v>32</v>
      </c>
      <c r="G6">
        <v>10274</v>
      </c>
      <c r="H6">
        <v>10295</v>
      </c>
      <c r="I6">
        <v>10257</v>
      </c>
      <c r="J6">
        <v>10295</v>
      </c>
      <c r="K6">
        <v>10407</v>
      </c>
      <c r="L6">
        <v>10295</v>
      </c>
      <c r="M6">
        <v>10295</v>
      </c>
      <c r="N6">
        <v>39.134738206863403</v>
      </c>
      <c r="O6">
        <v>51.221125841140697</v>
      </c>
      <c r="P6">
        <v>0.33210635185241699</v>
      </c>
      <c r="Q6">
        <v>12.295384883880599</v>
      </c>
      <c r="R6">
        <v>4442</v>
      </c>
      <c r="S6">
        <v>4451</v>
      </c>
      <c r="T6">
        <v>4419</v>
      </c>
      <c r="U6">
        <v>32</v>
      </c>
      <c r="V6">
        <v>2</v>
      </c>
      <c r="W6">
        <v>5</v>
      </c>
      <c r="X6">
        <v>2</v>
      </c>
      <c r="Y6">
        <v>2</v>
      </c>
      <c r="Z6">
        <v>10266</v>
      </c>
      <c r="AA6">
        <v>10295</v>
      </c>
      <c r="AB6">
        <v>9.6788883209228502E-2</v>
      </c>
      <c r="AC6">
        <v>0.33587288856506298</v>
      </c>
      <c r="AD6">
        <v>4</v>
      </c>
      <c r="AE6">
        <v>2</v>
      </c>
    </row>
    <row r="7" spans="1:31">
      <c r="A7" t="s">
        <v>30</v>
      </c>
      <c r="B7" t="s">
        <v>49</v>
      </c>
      <c r="C7">
        <v>3</v>
      </c>
      <c r="D7">
        <v>100</v>
      </c>
      <c r="E7">
        <v>8</v>
      </c>
      <c r="F7" t="s">
        <v>32</v>
      </c>
      <c r="G7">
        <v>11540</v>
      </c>
      <c r="H7">
        <v>11555</v>
      </c>
      <c r="I7">
        <v>11555</v>
      </c>
      <c r="J7">
        <v>11555</v>
      </c>
      <c r="K7">
        <v>11833</v>
      </c>
      <c r="L7">
        <v>11555</v>
      </c>
      <c r="M7">
        <v>11555</v>
      </c>
      <c r="N7">
        <v>1.25229096412658</v>
      </c>
      <c r="O7">
        <v>1.41812992095947</v>
      </c>
      <c r="P7">
        <v>0.14086103439330999</v>
      </c>
      <c r="Q7">
        <v>1.6148052215576101</v>
      </c>
      <c r="R7">
        <v>5629</v>
      </c>
      <c r="S7">
        <v>5647</v>
      </c>
      <c r="T7">
        <v>5618</v>
      </c>
      <c r="U7">
        <v>29</v>
      </c>
      <c r="V7">
        <v>2</v>
      </c>
      <c r="W7">
        <v>4</v>
      </c>
      <c r="X7">
        <v>2</v>
      </c>
      <c r="Y7">
        <v>2</v>
      </c>
      <c r="Z7">
        <v>11458</v>
      </c>
      <c r="AA7">
        <v>11555</v>
      </c>
      <c r="AB7">
        <v>7.5382947921752902E-2</v>
      </c>
      <c r="AC7">
        <v>6.7946672439575195E-2</v>
      </c>
      <c r="AD7">
        <v>5</v>
      </c>
      <c r="AE7">
        <v>3</v>
      </c>
    </row>
    <row r="8" spans="1:31">
      <c r="A8" t="s">
        <v>30</v>
      </c>
      <c r="B8" t="s">
        <v>53</v>
      </c>
      <c r="C8">
        <v>5</v>
      </c>
      <c r="D8">
        <v>100</v>
      </c>
      <c r="E8">
        <v>2</v>
      </c>
      <c r="F8" t="s">
        <v>32</v>
      </c>
      <c r="H8">
        <v>0</v>
      </c>
      <c r="I8">
        <v>10135</v>
      </c>
      <c r="J8">
        <v>10257</v>
      </c>
      <c r="K8">
        <v>10382</v>
      </c>
      <c r="L8">
        <v>10297</v>
      </c>
      <c r="M8">
        <v>10257</v>
      </c>
      <c r="O8">
        <v>1800.3751001358</v>
      </c>
      <c r="P8">
        <v>0.26982569694518999</v>
      </c>
      <c r="Q8">
        <v>243.39543366432099</v>
      </c>
      <c r="R8">
        <v>4198</v>
      </c>
      <c r="S8">
        <v>4274</v>
      </c>
      <c r="T8">
        <v>4198</v>
      </c>
      <c r="U8">
        <v>76</v>
      </c>
      <c r="V8">
        <v>0</v>
      </c>
      <c r="W8">
        <v>14</v>
      </c>
      <c r="X8">
        <v>9</v>
      </c>
      <c r="Y8">
        <v>2</v>
      </c>
      <c r="Z8">
        <v>10126</v>
      </c>
      <c r="AA8">
        <v>10119</v>
      </c>
      <c r="AB8">
        <v>6.4337491989135701E-2</v>
      </c>
      <c r="AC8">
        <v>0.65602278709411599</v>
      </c>
      <c r="AD8">
        <v>3</v>
      </c>
      <c r="AE8">
        <v>3</v>
      </c>
    </row>
    <row r="9" spans="1:31">
      <c r="A9" t="s">
        <v>30</v>
      </c>
      <c r="B9" t="s">
        <v>54</v>
      </c>
      <c r="C9">
        <v>5</v>
      </c>
      <c r="D9">
        <v>100</v>
      </c>
      <c r="E9">
        <v>5</v>
      </c>
      <c r="F9" t="s">
        <v>32</v>
      </c>
      <c r="H9">
        <v>0</v>
      </c>
      <c r="I9">
        <v>14167</v>
      </c>
      <c r="J9">
        <v>14289</v>
      </c>
      <c r="K9">
        <v>14617</v>
      </c>
      <c r="L9">
        <v>14462</v>
      </c>
      <c r="M9">
        <v>14409</v>
      </c>
      <c r="O9">
        <v>1800.56270051002</v>
      </c>
      <c r="P9">
        <v>0.53486585617065396</v>
      </c>
      <c r="Q9">
        <v>1800.4954755306201</v>
      </c>
      <c r="R9">
        <v>4986</v>
      </c>
      <c r="S9">
        <v>5144</v>
      </c>
      <c r="T9">
        <v>5023</v>
      </c>
      <c r="U9">
        <v>121</v>
      </c>
      <c r="V9">
        <v>0</v>
      </c>
      <c r="W9">
        <v>20</v>
      </c>
      <c r="X9">
        <v>9</v>
      </c>
      <c r="Y9">
        <v>9</v>
      </c>
      <c r="Z9">
        <v>14220</v>
      </c>
      <c r="AA9">
        <v>14131</v>
      </c>
      <c r="AB9">
        <v>0.49642539024353</v>
      </c>
      <c r="AC9">
        <v>1.5590636730194001</v>
      </c>
      <c r="AD9">
        <v>4</v>
      </c>
      <c r="AE9">
        <v>3</v>
      </c>
    </row>
    <row r="10" spans="1:31">
      <c r="A10" t="s">
        <v>30</v>
      </c>
      <c r="B10" t="s">
        <v>55</v>
      </c>
      <c r="C10">
        <v>5</v>
      </c>
      <c r="D10">
        <v>100</v>
      </c>
      <c r="E10">
        <v>8</v>
      </c>
      <c r="F10" t="s">
        <v>32</v>
      </c>
      <c r="G10">
        <v>13677</v>
      </c>
      <c r="H10">
        <v>13697</v>
      </c>
      <c r="I10">
        <v>13649</v>
      </c>
      <c r="J10">
        <v>13697</v>
      </c>
      <c r="K10">
        <v>14956</v>
      </c>
      <c r="L10">
        <v>13697</v>
      </c>
      <c r="M10">
        <v>13697</v>
      </c>
      <c r="N10">
        <v>235.04673528671199</v>
      </c>
      <c r="O10">
        <v>446.006131887435</v>
      </c>
      <c r="P10">
        <v>0.78238344192504805</v>
      </c>
      <c r="Q10">
        <v>177.59777522087001</v>
      </c>
      <c r="R10">
        <v>4119</v>
      </c>
      <c r="S10">
        <v>4227</v>
      </c>
      <c r="T10">
        <v>4057</v>
      </c>
      <c r="U10">
        <v>170</v>
      </c>
      <c r="V10">
        <v>2</v>
      </c>
      <c r="W10">
        <v>33</v>
      </c>
      <c r="X10">
        <v>2</v>
      </c>
      <c r="Y10">
        <v>2</v>
      </c>
      <c r="Z10">
        <v>13619</v>
      </c>
      <c r="AA10">
        <v>13655</v>
      </c>
      <c r="AB10">
        <v>0.31998896598815901</v>
      </c>
      <c r="AC10">
        <v>0.44040632247924799</v>
      </c>
      <c r="AD10">
        <v>4</v>
      </c>
      <c r="AE10">
        <v>3</v>
      </c>
    </row>
    <row r="11" spans="1:31">
      <c r="A11" t="s">
        <v>30</v>
      </c>
      <c r="B11" t="s">
        <v>56</v>
      </c>
      <c r="C11">
        <v>8</v>
      </c>
      <c r="D11">
        <v>100</v>
      </c>
      <c r="E11">
        <v>2</v>
      </c>
      <c r="F11" t="s">
        <v>32</v>
      </c>
      <c r="H11">
        <v>0</v>
      </c>
      <c r="I11">
        <v>15583</v>
      </c>
      <c r="J11">
        <v>15799</v>
      </c>
      <c r="K11">
        <v>16184</v>
      </c>
      <c r="L11">
        <v>16056</v>
      </c>
      <c r="M11">
        <v>15974</v>
      </c>
      <c r="O11">
        <v>1800.8232684135401</v>
      </c>
      <c r="P11">
        <v>0.44027543067932101</v>
      </c>
      <c r="Q11">
        <v>1800.9715104103</v>
      </c>
      <c r="R11">
        <v>2713</v>
      </c>
      <c r="S11">
        <v>2856</v>
      </c>
      <c r="T11">
        <v>2743</v>
      </c>
      <c r="U11">
        <v>113</v>
      </c>
      <c r="V11">
        <v>0</v>
      </c>
      <c r="W11">
        <v>19</v>
      </c>
      <c r="X11">
        <v>9</v>
      </c>
      <c r="Y11">
        <v>9</v>
      </c>
      <c r="Z11">
        <v>15646</v>
      </c>
      <c r="AA11">
        <v>15585</v>
      </c>
      <c r="AB11">
        <v>0.116026878356933</v>
      </c>
      <c r="AC11">
        <v>11.378528356552099</v>
      </c>
      <c r="AD11">
        <v>4</v>
      </c>
      <c r="AE11">
        <v>3</v>
      </c>
    </row>
    <row r="12" spans="1:31">
      <c r="A12" t="s">
        <v>30</v>
      </c>
      <c r="B12" t="s">
        <v>57</v>
      </c>
      <c r="C12">
        <v>8</v>
      </c>
      <c r="D12">
        <v>100</v>
      </c>
      <c r="E12">
        <v>5</v>
      </c>
      <c r="F12" t="s">
        <v>32</v>
      </c>
      <c r="H12">
        <v>0</v>
      </c>
      <c r="I12">
        <v>15615</v>
      </c>
      <c r="J12">
        <v>15847</v>
      </c>
      <c r="K12">
        <v>17561</v>
      </c>
      <c r="L12">
        <v>16764</v>
      </c>
      <c r="M12">
        <v>16545</v>
      </c>
      <c r="O12">
        <v>1800.9238047599699</v>
      </c>
      <c r="P12">
        <v>1.0022003650665201</v>
      </c>
      <c r="Q12">
        <v>1800.4869067668899</v>
      </c>
      <c r="R12">
        <v>2267</v>
      </c>
      <c r="S12">
        <v>2612</v>
      </c>
      <c r="T12">
        <v>2370</v>
      </c>
      <c r="U12">
        <v>242</v>
      </c>
      <c r="V12">
        <v>0</v>
      </c>
      <c r="W12">
        <v>34</v>
      </c>
      <c r="X12">
        <v>9</v>
      </c>
      <c r="Y12">
        <v>9</v>
      </c>
      <c r="Z12">
        <v>15622</v>
      </c>
      <c r="AA12">
        <v>15646</v>
      </c>
      <c r="AB12">
        <v>0.51584243774413996</v>
      </c>
      <c r="AC12">
        <v>1.8921539783477701</v>
      </c>
      <c r="AD12">
        <v>6</v>
      </c>
      <c r="AE12">
        <v>4</v>
      </c>
    </row>
    <row r="13" spans="1:31">
      <c r="A13" t="s">
        <v>30</v>
      </c>
      <c r="B13" t="s">
        <v>58</v>
      </c>
      <c r="C13">
        <v>8</v>
      </c>
      <c r="D13">
        <v>100</v>
      </c>
      <c r="E13">
        <v>8</v>
      </c>
      <c r="F13" t="s">
        <v>32</v>
      </c>
      <c r="H13">
        <v>0</v>
      </c>
      <c r="I13">
        <v>15539</v>
      </c>
      <c r="J13">
        <v>15666</v>
      </c>
      <c r="K13">
        <v>18532</v>
      </c>
      <c r="L13">
        <v>16826</v>
      </c>
      <c r="M13">
        <v>16606</v>
      </c>
      <c r="O13">
        <v>1800.5120227336799</v>
      </c>
      <c r="P13">
        <v>0.72634291648864702</v>
      </c>
      <c r="Q13">
        <v>1800.54651141166</v>
      </c>
      <c r="R13">
        <v>3033</v>
      </c>
      <c r="S13">
        <v>4072</v>
      </c>
      <c r="T13">
        <v>3128</v>
      </c>
      <c r="U13">
        <v>944</v>
      </c>
      <c r="V13">
        <v>0</v>
      </c>
      <c r="W13">
        <v>146</v>
      </c>
      <c r="X13">
        <v>9</v>
      </c>
      <c r="Y13">
        <v>9</v>
      </c>
      <c r="Z13">
        <v>15553</v>
      </c>
      <c r="AA13">
        <v>15481</v>
      </c>
      <c r="AB13">
        <v>0.23774266242980899</v>
      </c>
      <c r="AC13">
        <v>1.3359415531158401</v>
      </c>
      <c r="AD13">
        <v>5</v>
      </c>
      <c r="AE13">
        <v>4</v>
      </c>
    </row>
    <row r="14" spans="1:31">
      <c r="A14" t="s">
        <v>30</v>
      </c>
      <c r="B14" t="s">
        <v>31</v>
      </c>
      <c r="C14">
        <v>10</v>
      </c>
      <c r="D14">
        <v>100</v>
      </c>
      <c r="E14">
        <v>2</v>
      </c>
      <c r="F14" t="s">
        <v>32</v>
      </c>
      <c r="H14">
        <v>0</v>
      </c>
      <c r="I14">
        <v>16341</v>
      </c>
      <c r="J14">
        <v>16669</v>
      </c>
      <c r="K14">
        <v>17511</v>
      </c>
      <c r="L14">
        <v>17388</v>
      </c>
      <c r="M14">
        <v>17283</v>
      </c>
      <c r="O14">
        <v>1800.4745655059801</v>
      </c>
      <c r="P14">
        <v>0.69369721412658603</v>
      </c>
      <c r="Q14">
        <v>1800.4081411361601</v>
      </c>
      <c r="R14">
        <v>1559</v>
      </c>
      <c r="S14">
        <v>1749</v>
      </c>
      <c r="T14">
        <v>1598</v>
      </c>
      <c r="U14">
        <v>151</v>
      </c>
      <c r="V14">
        <v>0</v>
      </c>
      <c r="W14">
        <v>19</v>
      </c>
      <c r="X14">
        <v>9</v>
      </c>
      <c r="Y14">
        <v>9</v>
      </c>
      <c r="Z14">
        <v>16295</v>
      </c>
      <c r="AA14">
        <v>16362</v>
      </c>
      <c r="AB14">
        <v>6.1013221740722601E-2</v>
      </c>
      <c r="AC14">
        <v>13.070255517959501</v>
      </c>
      <c r="AD14">
        <v>6</v>
      </c>
      <c r="AE14">
        <v>10</v>
      </c>
    </row>
    <row r="15" spans="1:31">
      <c r="A15" t="s">
        <v>30</v>
      </c>
      <c r="B15" t="s">
        <v>33</v>
      </c>
      <c r="C15">
        <v>10</v>
      </c>
      <c r="D15">
        <v>100</v>
      </c>
      <c r="E15">
        <v>5</v>
      </c>
      <c r="F15" t="s">
        <v>32</v>
      </c>
      <c r="H15">
        <v>0</v>
      </c>
      <c r="I15">
        <v>16696</v>
      </c>
      <c r="J15">
        <v>16947</v>
      </c>
      <c r="K15">
        <v>20275</v>
      </c>
      <c r="L15">
        <v>18722</v>
      </c>
      <c r="M15">
        <v>18308</v>
      </c>
      <c r="O15">
        <v>1800.7032852172799</v>
      </c>
      <c r="P15">
        <v>6.0335013866424498</v>
      </c>
      <c r="Q15">
        <v>1800.62827396392</v>
      </c>
      <c r="R15">
        <v>1564</v>
      </c>
      <c r="S15">
        <v>2377</v>
      </c>
      <c r="T15">
        <v>1825</v>
      </c>
      <c r="U15">
        <v>552</v>
      </c>
      <c r="V15">
        <v>0</v>
      </c>
      <c r="W15">
        <v>49</v>
      </c>
      <c r="X15">
        <v>9</v>
      </c>
      <c r="Y15">
        <v>9</v>
      </c>
      <c r="Z15">
        <v>16677</v>
      </c>
      <c r="AA15">
        <v>16724</v>
      </c>
      <c r="AB15">
        <v>6.1773123741149902</v>
      </c>
      <c r="AC15">
        <v>16.354896068572899</v>
      </c>
      <c r="AD15">
        <v>85</v>
      </c>
      <c r="AE15">
        <v>126</v>
      </c>
    </row>
    <row r="16" spans="1:31">
      <c r="A16" t="s">
        <v>30</v>
      </c>
      <c r="B16" t="s">
        <v>34</v>
      </c>
      <c r="C16">
        <v>10</v>
      </c>
      <c r="D16">
        <v>100</v>
      </c>
      <c r="E16">
        <v>8</v>
      </c>
      <c r="F16" t="s">
        <v>32</v>
      </c>
      <c r="H16">
        <v>0</v>
      </c>
      <c r="I16">
        <v>16071</v>
      </c>
      <c r="J16">
        <v>16348</v>
      </c>
      <c r="K16">
        <v>20331</v>
      </c>
      <c r="L16">
        <v>18645</v>
      </c>
      <c r="M16">
        <v>17990</v>
      </c>
      <c r="O16">
        <v>1800.53633356094</v>
      </c>
      <c r="P16">
        <v>1.085866689682</v>
      </c>
      <c r="Q16">
        <v>1800.8339514732299</v>
      </c>
      <c r="R16">
        <v>1775</v>
      </c>
      <c r="S16">
        <v>3841</v>
      </c>
      <c r="T16">
        <v>2560</v>
      </c>
      <c r="U16">
        <v>1281</v>
      </c>
      <c r="V16">
        <v>0</v>
      </c>
      <c r="W16">
        <v>156</v>
      </c>
      <c r="X16">
        <v>9</v>
      </c>
      <c r="Y16">
        <v>9</v>
      </c>
      <c r="Z16">
        <v>16059</v>
      </c>
      <c r="AA16">
        <v>16110</v>
      </c>
      <c r="AB16">
        <v>0.26041126251220698</v>
      </c>
      <c r="AC16">
        <v>4.5424807071685702</v>
      </c>
      <c r="AD16">
        <v>6</v>
      </c>
      <c r="AE16">
        <v>5</v>
      </c>
    </row>
    <row r="17" spans="1:31">
      <c r="A17" t="s">
        <v>30</v>
      </c>
      <c r="B17" t="s">
        <v>35</v>
      </c>
      <c r="C17">
        <v>15</v>
      </c>
      <c r="D17">
        <v>100</v>
      </c>
      <c r="E17">
        <v>2</v>
      </c>
      <c r="F17" t="s">
        <v>32</v>
      </c>
      <c r="H17">
        <v>0</v>
      </c>
      <c r="I17">
        <v>19766</v>
      </c>
      <c r="J17">
        <v>19779</v>
      </c>
      <c r="K17">
        <v>21841</v>
      </c>
      <c r="L17">
        <v>21655</v>
      </c>
      <c r="M17">
        <v>21516</v>
      </c>
      <c r="O17">
        <v>1800.5441567897701</v>
      </c>
      <c r="P17">
        <v>22.314023256301802</v>
      </c>
      <c r="Q17">
        <v>1800.4426102638199</v>
      </c>
      <c r="R17">
        <v>1608</v>
      </c>
      <c r="S17">
        <v>1831</v>
      </c>
      <c r="T17">
        <v>1629</v>
      </c>
      <c r="U17">
        <v>202</v>
      </c>
      <c r="V17">
        <v>0</v>
      </c>
      <c r="W17">
        <v>18</v>
      </c>
      <c r="X17">
        <v>9</v>
      </c>
      <c r="Y17">
        <v>9</v>
      </c>
      <c r="Z17">
        <v>19577</v>
      </c>
      <c r="AA17">
        <v>19604</v>
      </c>
      <c r="AB17">
        <v>0.49863886833190901</v>
      </c>
      <c r="AC17">
        <v>224.154500961303</v>
      </c>
      <c r="AD17">
        <v>8</v>
      </c>
      <c r="AE17">
        <v>17</v>
      </c>
    </row>
    <row r="18" spans="1:31">
      <c r="A18" t="s">
        <v>30</v>
      </c>
      <c r="B18" t="s">
        <v>36</v>
      </c>
      <c r="C18">
        <v>15</v>
      </c>
      <c r="D18">
        <v>100</v>
      </c>
      <c r="E18">
        <v>5</v>
      </c>
      <c r="F18" t="s">
        <v>32</v>
      </c>
      <c r="H18">
        <v>0</v>
      </c>
      <c r="I18">
        <v>15962</v>
      </c>
      <c r="J18">
        <v>16488</v>
      </c>
      <c r="K18">
        <v>23039</v>
      </c>
      <c r="L18">
        <v>20260</v>
      </c>
      <c r="M18">
        <v>19818</v>
      </c>
      <c r="O18">
        <v>1800.3064820766399</v>
      </c>
      <c r="P18">
        <v>21.6741316318512</v>
      </c>
      <c r="Q18">
        <v>1800.26894927024</v>
      </c>
      <c r="R18">
        <v>1651</v>
      </c>
      <c r="S18">
        <v>2302</v>
      </c>
      <c r="T18">
        <v>1860</v>
      </c>
      <c r="U18">
        <v>442</v>
      </c>
      <c r="V18">
        <v>0</v>
      </c>
      <c r="W18">
        <v>39</v>
      </c>
      <c r="X18">
        <v>9</v>
      </c>
      <c r="Y18">
        <v>9</v>
      </c>
      <c r="Z18">
        <v>15891</v>
      </c>
      <c r="AA18">
        <v>16057</v>
      </c>
      <c r="AB18">
        <v>0.388018608093261</v>
      </c>
      <c r="AC18">
        <v>72.589966297149601</v>
      </c>
      <c r="AD18">
        <v>10</v>
      </c>
      <c r="AE18">
        <v>7</v>
      </c>
    </row>
    <row r="19" spans="1:31">
      <c r="A19" t="s">
        <v>30</v>
      </c>
      <c r="B19" t="s">
        <v>37</v>
      </c>
      <c r="C19">
        <v>15</v>
      </c>
      <c r="D19">
        <v>100</v>
      </c>
      <c r="E19">
        <v>8</v>
      </c>
      <c r="F19" t="s">
        <v>32</v>
      </c>
      <c r="H19">
        <v>0</v>
      </c>
      <c r="I19">
        <v>16269</v>
      </c>
      <c r="J19">
        <v>16816</v>
      </c>
      <c r="K19">
        <v>22968</v>
      </c>
      <c r="L19">
        <v>20233</v>
      </c>
      <c r="M19">
        <v>19767</v>
      </c>
      <c r="O19">
        <v>1800.32688164711</v>
      </c>
      <c r="P19">
        <v>21.361758947372401</v>
      </c>
      <c r="Q19">
        <v>1800.4257228374399</v>
      </c>
      <c r="R19">
        <v>1633</v>
      </c>
      <c r="S19">
        <v>2362</v>
      </c>
      <c r="T19">
        <v>1895</v>
      </c>
      <c r="U19">
        <v>467</v>
      </c>
      <c r="V19">
        <v>0</v>
      </c>
      <c r="W19">
        <v>37</v>
      </c>
      <c r="X19">
        <v>9</v>
      </c>
      <c r="Y19">
        <v>9</v>
      </c>
      <c r="Z19">
        <v>16332</v>
      </c>
      <c r="AA19">
        <v>16427</v>
      </c>
      <c r="AB19">
        <v>0.32161855697631803</v>
      </c>
      <c r="AC19">
        <v>42.821866035461397</v>
      </c>
      <c r="AD19">
        <v>9</v>
      </c>
      <c r="AE19">
        <v>8</v>
      </c>
    </row>
    <row r="20" spans="1:31">
      <c r="A20" t="s">
        <v>30</v>
      </c>
      <c r="B20" t="s">
        <v>41</v>
      </c>
      <c r="C20">
        <v>20</v>
      </c>
      <c r="D20">
        <v>100</v>
      </c>
      <c r="E20">
        <v>2</v>
      </c>
      <c r="F20" t="s">
        <v>32</v>
      </c>
      <c r="H20">
        <v>0</v>
      </c>
      <c r="I20">
        <v>20753</v>
      </c>
      <c r="J20">
        <v>20942</v>
      </c>
      <c r="K20">
        <v>24496</v>
      </c>
      <c r="L20">
        <v>24078</v>
      </c>
      <c r="M20">
        <v>23964</v>
      </c>
      <c r="O20">
        <v>1800.6397435665101</v>
      </c>
      <c r="P20">
        <v>4.4042539596557599</v>
      </c>
      <c r="Q20">
        <v>1800.3911726474701</v>
      </c>
      <c r="R20">
        <v>120</v>
      </c>
      <c r="S20">
        <v>340</v>
      </c>
      <c r="T20">
        <v>141</v>
      </c>
      <c r="U20">
        <v>199</v>
      </c>
      <c r="V20">
        <v>0</v>
      </c>
      <c r="W20">
        <v>11</v>
      </c>
      <c r="X20">
        <v>9</v>
      </c>
      <c r="Y20">
        <v>9</v>
      </c>
      <c r="Z20">
        <v>20499</v>
      </c>
      <c r="AA20">
        <v>20666</v>
      </c>
      <c r="AB20">
        <v>4.2710864543914804</v>
      </c>
      <c r="AC20">
        <v>304.67951726913401</v>
      </c>
      <c r="AD20">
        <v>77</v>
      </c>
      <c r="AE20">
        <v>54</v>
      </c>
    </row>
    <row r="21" spans="1:31">
      <c r="A21" t="s">
        <v>30</v>
      </c>
      <c r="B21" t="s">
        <v>42</v>
      </c>
      <c r="C21">
        <v>20</v>
      </c>
      <c r="D21">
        <v>100</v>
      </c>
      <c r="E21">
        <v>5</v>
      </c>
      <c r="F21" t="s">
        <v>32</v>
      </c>
      <c r="H21">
        <v>0</v>
      </c>
      <c r="J21">
        <v>0</v>
      </c>
      <c r="K21">
        <v>24711</v>
      </c>
      <c r="L21">
        <v>21775</v>
      </c>
      <c r="M21">
        <v>22008</v>
      </c>
      <c r="O21">
        <v>1800.2484743595101</v>
      </c>
      <c r="Q21">
        <v>1800.22936081886</v>
      </c>
      <c r="R21">
        <v>160</v>
      </c>
      <c r="S21">
        <v>240</v>
      </c>
      <c r="T21">
        <v>120</v>
      </c>
      <c r="U21">
        <v>120</v>
      </c>
      <c r="V21">
        <v>0</v>
      </c>
      <c r="W21">
        <v>0</v>
      </c>
      <c r="X21">
        <v>9</v>
      </c>
      <c r="Y21">
        <v>9</v>
      </c>
      <c r="Z21">
        <v>0</v>
      </c>
      <c r="AA21">
        <v>0</v>
      </c>
      <c r="AB21">
        <v>6.4220006465911803</v>
      </c>
      <c r="AC21">
        <v>308.47940659522999</v>
      </c>
      <c r="AD21">
        <v>200</v>
      </c>
      <c r="AE21">
        <v>200</v>
      </c>
    </row>
    <row r="22" spans="1:31">
      <c r="A22" t="s">
        <v>30</v>
      </c>
      <c r="B22" t="s">
        <v>43</v>
      </c>
      <c r="C22">
        <v>20</v>
      </c>
      <c r="D22">
        <v>100</v>
      </c>
      <c r="E22">
        <v>8</v>
      </c>
      <c r="F22" t="s">
        <v>32</v>
      </c>
      <c r="H22">
        <v>0</v>
      </c>
      <c r="I22">
        <v>16868</v>
      </c>
      <c r="J22">
        <v>17114</v>
      </c>
      <c r="K22">
        <v>25532</v>
      </c>
      <c r="L22">
        <v>22691</v>
      </c>
      <c r="M22">
        <v>23099</v>
      </c>
      <c r="O22">
        <v>1800.2258458137501</v>
      </c>
      <c r="P22">
        <v>3.7015523910522399</v>
      </c>
      <c r="Q22">
        <v>1800.25274610519</v>
      </c>
      <c r="R22">
        <v>200</v>
      </c>
      <c r="S22">
        <v>352</v>
      </c>
      <c r="T22">
        <v>156</v>
      </c>
      <c r="U22">
        <v>196</v>
      </c>
      <c r="V22">
        <v>0</v>
      </c>
      <c r="W22">
        <v>13</v>
      </c>
      <c r="X22">
        <v>9</v>
      </c>
      <c r="Y22">
        <v>9</v>
      </c>
      <c r="Z22">
        <v>16807</v>
      </c>
      <c r="AA22">
        <v>16768</v>
      </c>
      <c r="AB22">
        <v>4.9544649124145499</v>
      </c>
      <c r="AC22">
        <v>303.74563789367602</v>
      </c>
      <c r="AD22">
        <v>131</v>
      </c>
      <c r="AE22">
        <v>50</v>
      </c>
    </row>
    <row r="23" spans="1:31">
      <c r="A23" t="s">
        <v>30</v>
      </c>
      <c r="B23" t="s">
        <v>44</v>
      </c>
      <c r="C23">
        <v>25</v>
      </c>
      <c r="D23">
        <v>100</v>
      </c>
      <c r="E23">
        <v>2</v>
      </c>
      <c r="F23" t="s">
        <v>32</v>
      </c>
      <c r="H23">
        <v>0</v>
      </c>
      <c r="I23">
        <v>20696</v>
      </c>
      <c r="J23">
        <v>20699</v>
      </c>
      <c r="K23">
        <v>26221</v>
      </c>
      <c r="L23">
        <v>25919.9999638175</v>
      </c>
      <c r="M23">
        <v>26438</v>
      </c>
      <c r="O23">
        <v>1800.3088924884701</v>
      </c>
      <c r="P23">
        <v>10.085875034332201</v>
      </c>
      <c r="Q23">
        <v>1800.35611033439</v>
      </c>
      <c r="R23">
        <v>150</v>
      </c>
      <c r="S23">
        <v>360</v>
      </c>
      <c r="T23">
        <v>170</v>
      </c>
      <c r="U23">
        <v>190</v>
      </c>
      <c r="V23">
        <v>0</v>
      </c>
      <c r="W23">
        <v>7</v>
      </c>
      <c r="X23">
        <v>9</v>
      </c>
      <c r="Y23">
        <v>9</v>
      </c>
      <c r="Z23">
        <v>20618</v>
      </c>
      <c r="AA23">
        <v>20447</v>
      </c>
      <c r="AB23">
        <v>15.0918877124786</v>
      </c>
      <c r="AC23">
        <v>303.88431096076903</v>
      </c>
      <c r="AD23">
        <v>196</v>
      </c>
      <c r="AE23">
        <v>20</v>
      </c>
    </row>
    <row r="24" spans="1:31">
      <c r="A24" t="s">
        <v>30</v>
      </c>
      <c r="B24" t="s">
        <v>45</v>
      </c>
      <c r="C24">
        <v>25</v>
      </c>
      <c r="D24">
        <v>100</v>
      </c>
      <c r="E24">
        <v>5</v>
      </c>
      <c r="F24" t="s">
        <v>32</v>
      </c>
      <c r="H24">
        <v>0</v>
      </c>
      <c r="J24">
        <v>0</v>
      </c>
      <c r="K24">
        <v>25694</v>
      </c>
      <c r="L24">
        <v>24671</v>
      </c>
      <c r="M24">
        <v>24903</v>
      </c>
      <c r="O24">
        <v>1800.30874705314</v>
      </c>
      <c r="Q24">
        <v>1800.5989863872501</v>
      </c>
      <c r="R24">
        <v>175</v>
      </c>
      <c r="S24">
        <v>250</v>
      </c>
      <c r="T24">
        <v>125</v>
      </c>
      <c r="U24">
        <v>125</v>
      </c>
      <c r="V24">
        <v>0</v>
      </c>
      <c r="W24">
        <v>0</v>
      </c>
      <c r="X24">
        <v>9</v>
      </c>
      <c r="Y24">
        <v>9</v>
      </c>
      <c r="Z24">
        <v>0</v>
      </c>
      <c r="AA24">
        <v>0</v>
      </c>
      <c r="AB24">
        <v>10.2198293209075</v>
      </c>
      <c r="AC24">
        <v>312.97128081321699</v>
      </c>
      <c r="AD24">
        <v>200</v>
      </c>
      <c r="AE24">
        <v>200</v>
      </c>
    </row>
    <row r="25" spans="1:31">
      <c r="A25" t="s">
        <v>30</v>
      </c>
      <c r="B25" t="s">
        <v>46</v>
      </c>
      <c r="C25">
        <v>25</v>
      </c>
      <c r="D25">
        <v>100</v>
      </c>
      <c r="E25">
        <v>8</v>
      </c>
      <c r="F25" t="s">
        <v>32</v>
      </c>
      <c r="H25">
        <v>0</v>
      </c>
      <c r="J25">
        <v>0</v>
      </c>
      <c r="K25">
        <v>26419</v>
      </c>
      <c r="L25">
        <v>25536</v>
      </c>
      <c r="M25">
        <v>25410</v>
      </c>
      <c r="O25">
        <v>1800.3497982025101</v>
      </c>
      <c r="Q25">
        <v>1800.4528150558399</v>
      </c>
      <c r="R25">
        <v>175</v>
      </c>
      <c r="S25">
        <v>250</v>
      </c>
      <c r="T25">
        <v>125</v>
      </c>
      <c r="U25">
        <v>125</v>
      </c>
      <c r="V25">
        <v>0</v>
      </c>
      <c r="W25">
        <v>0</v>
      </c>
      <c r="X25">
        <v>9</v>
      </c>
      <c r="Y25">
        <v>9</v>
      </c>
      <c r="Z25">
        <v>0</v>
      </c>
      <c r="AA25">
        <v>0</v>
      </c>
      <c r="AB25">
        <v>11.502543926238999</v>
      </c>
      <c r="AC25">
        <v>315.27010583877501</v>
      </c>
      <c r="AD25">
        <v>200</v>
      </c>
      <c r="AE25">
        <v>200</v>
      </c>
    </row>
    <row r="26" spans="1:31">
      <c r="A26" t="s">
        <v>30</v>
      </c>
      <c r="B26" t="s">
        <v>50</v>
      </c>
      <c r="C26">
        <v>30</v>
      </c>
      <c r="D26">
        <v>100</v>
      </c>
      <c r="E26">
        <v>2</v>
      </c>
      <c r="F26" t="s">
        <v>32</v>
      </c>
      <c r="H26">
        <v>0</v>
      </c>
      <c r="I26">
        <v>20118</v>
      </c>
      <c r="J26">
        <v>20486</v>
      </c>
      <c r="K26">
        <v>27749</v>
      </c>
      <c r="L26">
        <v>29329</v>
      </c>
      <c r="M26">
        <v>40835</v>
      </c>
      <c r="O26">
        <v>1800.4853708743999</v>
      </c>
      <c r="P26">
        <v>14.469929218292201</v>
      </c>
      <c r="Q26">
        <v>1800.8496825694999</v>
      </c>
      <c r="R26">
        <v>150</v>
      </c>
      <c r="S26">
        <v>526</v>
      </c>
      <c r="T26">
        <v>226</v>
      </c>
      <c r="U26">
        <v>300</v>
      </c>
      <c r="V26">
        <v>0</v>
      </c>
      <c r="W26">
        <v>2</v>
      </c>
      <c r="X26">
        <v>9</v>
      </c>
      <c r="Y26">
        <v>9</v>
      </c>
      <c r="Z26">
        <v>20558</v>
      </c>
      <c r="AA26">
        <v>0</v>
      </c>
      <c r="AB26">
        <v>17.736356973648</v>
      </c>
      <c r="AC26">
        <v>320.18260979652399</v>
      </c>
      <c r="AD26">
        <v>196</v>
      </c>
      <c r="AE26">
        <v>200</v>
      </c>
    </row>
    <row r="27" spans="1:31">
      <c r="A27" t="s">
        <v>30</v>
      </c>
      <c r="B27" t="s">
        <v>51</v>
      </c>
      <c r="C27">
        <v>30</v>
      </c>
      <c r="D27">
        <v>100</v>
      </c>
      <c r="E27">
        <v>5</v>
      </c>
      <c r="F27" t="s">
        <v>32</v>
      </c>
      <c r="H27">
        <v>0</v>
      </c>
      <c r="I27">
        <v>15524</v>
      </c>
      <c r="J27">
        <v>16275</v>
      </c>
      <c r="K27">
        <v>27259</v>
      </c>
      <c r="L27">
        <v>27512</v>
      </c>
      <c r="M27">
        <v>32988</v>
      </c>
      <c r="O27">
        <v>1800.48787903785</v>
      </c>
      <c r="P27">
        <v>8.7296855449676496</v>
      </c>
      <c r="Q27">
        <v>1806.85306239128</v>
      </c>
      <c r="R27">
        <v>180</v>
      </c>
      <c r="S27">
        <v>719</v>
      </c>
      <c r="T27">
        <v>320</v>
      </c>
      <c r="U27">
        <v>399</v>
      </c>
      <c r="V27">
        <v>0</v>
      </c>
      <c r="W27">
        <v>11</v>
      </c>
      <c r="X27">
        <v>9</v>
      </c>
      <c r="Y27">
        <v>9</v>
      </c>
      <c r="Z27">
        <v>15852</v>
      </c>
      <c r="AA27">
        <v>15683</v>
      </c>
      <c r="AB27">
        <v>4.5925962924957204</v>
      </c>
      <c r="AC27">
        <v>305.53571796417202</v>
      </c>
      <c r="AD27">
        <v>74</v>
      </c>
      <c r="AE27">
        <v>33</v>
      </c>
    </row>
    <row r="28" spans="1:31">
      <c r="A28" t="s">
        <v>30</v>
      </c>
      <c r="B28" t="s">
        <v>52</v>
      </c>
      <c r="C28">
        <v>30</v>
      </c>
      <c r="D28">
        <v>100</v>
      </c>
      <c r="E28">
        <v>8</v>
      </c>
      <c r="F28" t="s">
        <v>32</v>
      </c>
      <c r="H28">
        <v>0</v>
      </c>
      <c r="I28">
        <v>15378</v>
      </c>
      <c r="J28">
        <v>15786</v>
      </c>
      <c r="K28">
        <v>27571</v>
      </c>
      <c r="L28">
        <v>27855</v>
      </c>
      <c r="M28">
        <v>30389</v>
      </c>
      <c r="O28">
        <v>1800.3570649999999</v>
      </c>
      <c r="P28">
        <v>5.5549716949462802</v>
      </c>
      <c r="Q28">
        <v>1801.50714159011</v>
      </c>
      <c r="R28">
        <v>210</v>
      </c>
      <c r="S28">
        <v>891</v>
      </c>
      <c r="T28">
        <v>371</v>
      </c>
      <c r="U28">
        <v>520</v>
      </c>
      <c r="V28">
        <v>0</v>
      </c>
      <c r="W28">
        <v>18</v>
      </c>
      <c r="X28">
        <v>9</v>
      </c>
      <c r="Y28">
        <v>9</v>
      </c>
      <c r="Z28">
        <v>15558</v>
      </c>
      <c r="AA28">
        <v>0</v>
      </c>
      <c r="AB28">
        <v>2.8837978839874201</v>
      </c>
      <c r="AC28">
        <v>323.75194720000002</v>
      </c>
      <c r="AD28">
        <v>78</v>
      </c>
      <c r="AE28">
        <v>200</v>
      </c>
    </row>
  </sheetData>
  <autoFilter ref="A1:AE1" xr:uid="{70DB3BD7-6FA6-4117-AE78-28744BB2FCB4}">
    <sortState xmlns:xlrd2="http://schemas.microsoft.com/office/spreadsheetml/2017/richdata2" ref="A2:AE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BZRvsZR</vt:lpstr>
      <vt:lpstr>RR-BRD</vt:lpstr>
      <vt:lpstr>KPG_test_C_test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Hyunwoo</dc:creator>
  <cp:lastModifiedBy>Lee, Hyunwoo</cp:lastModifiedBy>
  <dcterms:created xsi:type="dcterms:W3CDTF">2025-12-16T22:05:06Z</dcterms:created>
  <dcterms:modified xsi:type="dcterms:W3CDTF">2026-01-27T17:18:28Z</dcterms:modified>
</cp:coreProperties>
</file>